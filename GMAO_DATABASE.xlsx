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Commun\17_stagiaire-apprenti\Safouan\PROJET\4- Outil Gestion OBSOLESCENCE\"/>
    </mc:Choice>
  </mc:AlternateContent>
  <xr:revisionPtr revIDLastSave="0" documentId="13_ncr:1_{C36337ED-BE52-49C8-B6A1-84ACD4742BAF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Listes" sheetId="3" r:id="rId1"/>
    <sheet name="CATALOGUE_MAITRE" sheetId="8" r:id="rId2"/>
    <sheet name="Données" sheetId="1" r:id="rId3"/>
    <sheet name="USERS" sheetId="10" r:id="rId4"/>
    <sheet name="LOGS" sheetId="11" r:id="rId5"/>
    <sheet name="ALERTES_VEILLE" sheetId="1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K2" i="1" l="1"/>
  <c r="K3" i="1"/>
  <c r="K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O201" i="1" l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198" i="1"/>
  <c r="O199" i="1"/>
  <c r="O200" i="1"/>
  <c r="O187" i="1"/>
  <c r="O188" i="1"/>
  <c r="O189" i="1"/>
  <c r="O190" i="1"/>
  <c r="O191" i="1"/>
  <c r="O192" i="1"/>
  <c r="O193" i="1"/>
  <c r="O194" i="1"/>
  <c r="O195" i="1"/>
  <c r="O196" i="1"/>
  <c r="O197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" i="1"/>
  <c r="O4" i="1"/>
  <c r="O5" i="1"/>
  <c r="O6" i="1"/>
  <c r="O7" i="1"/>
  <c r="O8" i="1"/>
  <c r="O2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15" i="1"/>
  <c r="J16" i="1"/>
  <c r="J5" i="1"/>
  <c r="J6" i="1"/>
  <c r="J7" i="1"/>
  <c r="J8" i="1"/>
  <c r="J9" i="1"/>
  <c r="J10" i="1"/>
  <c r="J11" i="1"/>
  <c r="J12" i="1"/>
  <c r="J13" i="1"/>
  <c r="J14" i="1"/>
  <c r="J3" i="1"/>
  <c r="J4" i="1"/>
  <c r="J2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163" i="1"/>
  <c r="H164" i="1"/>
  <c r="H165" i="1"/>
  <c r="H166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39" i="1"/>
  <c r="H140" i="1"/>
  <c r="H141" i="1"/>
  <c r="H134" i="1"/>
  <c r="H135" i="1"/>
  <c r="H136" i="1"/>
  <c r="H137" i="1"/>
  <c r="H138" i="1"/>
  <c r="H130" i="1"/>
  <c r="H131" i="1"/>
  <c r="H132" i="1"/>
  <c r="H133" i="1"/>
  <c r="H123" i="1"/>
  <c r="H124" i="1"/>
  <c r="H125" i="1"/>
  <c r="H126" i="1"/>
  <c r="H127" i="1"/>
  <c r="H128" i="1"/>
  <c r="H129" i="1"/>
  <c r="H114" i="1"/>
  <c r="H115" i="1"/>
  <c r="H116" i="1"/>
  <c r="H117" i="1"/>
  <c r="H118" i="1"/>
  <c r="H119" i="1"/>
  <c r="H120" i="1"/>
  <c r="H121" i="1"/>
  <c r="H122" i="1"/>
  <c r="H104" i="1"/>
  <c r="H105" i="1"/>
  <c r="H106" i="1"/>
  <c r="H107" i="1"/>
  <c r="H108" i="1"/>
  <c r="H109" i="1"/>
  <c r="H110" i="1"/>
  <c r="H111" i="1"/>
  <c r="H112" i="1"/>
  <c r="H113" i="1"/>
  <c r="H102" i="1"/>
  <c r="H103" i="1"/>
  <c r="H98" i="1"/>
  <c r="H99" i="1"/>
  <c r="H100" i="1"/>
  <c r="H101" i="1"/>
  <c r="H92" i="1"/>
  <c r="H93" i="1"/>
  <c r="H94" i="1"/>
  <c r="H95" i="1"/>
  <c r="H96" i="1"/>
  <c r="H97" i="1"/>
  <c r="H88" i="1"/>
  <c r="H89" i="1"/>
  <c r="H90" i="1"/>
  <c r="H91" i="1"/>
  <c r="H79" i="1"/>
  <c r="H80" i="1"/>
  <c r="H81" i="1"/>
  <c r="H82" i="1"/>
  <c r="H83" i="1"/>
  <c r="H84" i="1"/>
  <c r="H85" i="1"/>
  <c r="H86" i="1"/>
  <c r="H87" i="1"/>
  <c r="H77" i="1"/>
  <c r="H78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33" i="1"/>
  <c r="H34" i="1"/>
  <c r="H35" i="1"/>
  <c r="H36" i="1"/>
  <c r="H37" i="1"/>
  <c r="H38" i="1"/>
  <c r="H39" i="1"/>
  <c r="H40" i="1"/>
  <c r="H41" i="1"/>
  <c r="H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<sst xmlns="http://schemas.openxmlformats.org/spreadsheetml/2006/main" count="4006" uniqueCount="848">
  <si>
    <t>Machine</t>
  </si>
  <si>
    <t>Référence</t>
  </si>
  <si>
    <t>Statut Cycle de Vie</t>
  </si>
  <si>
    <t>C8M01</t>
  </si>
  <si>
    <t>SIEMENS</t>
  </si>
  <si>
    <t>6ES7314-1AE04-0AB0</t>
  </si>
  <si>
    <t>6ES7338-4BC01-0AB0</t>
  </si>
  <si>
    <t>6ES7350-1AH02-0AE0</t>
  </si>
  <si>
    <t>6ES7321-1BL00-0AA0</t>
  </si>
  <si>
    <t>6ES7322-1BL00-0AA0</t>
  </si>
  <si>
    <t>6ES7322-1BH01-0AA0</t>
  </si>
  <si>
    <t>6ES7332-5HB01-0AB0</t>
  </si>
  <si>
    <t>H00</t>
  </si>
  <si>
    <t>Produit Actif</t>
  </si>
  <si>
    <t>PC2003</t>
  </si>
  <si>
    <t>6AV3617-1JC20-0AX1</t>
  </si>
  <si>
    <t>6SN1145-1BA02-0CA1</t>
  </si>
  <si>
    <t>6SN1123-1AA00-0LA1</t>
  </si>
  <si>
    <t>6SN1123-1AA00-0CA1</t>
  </si>
  <si>
    <t>6SN1118-0NH00-0AA2</t>
  </si>
  <si>
    <t>6SN1118-0NJ01-0AA1</t>
  </si>
  <si>
    <t>6SN1162-0EA00-0CA0</t>
  </si>
  <si>
    <t>1FK6101-8AF71-1TG0</t>
  </si>
  <si>
    <t>EBM-PAPST</t>
  </si>
  <si>
    <t>W2D210-EB10-12</t>
  </si>
  <si>
    <t>HEIDENHAIN</t>
  </si>
  <si>
    <t>6FC9320-5DB00</t>
  </si>
  <si>
    <t>LEGRAND</t>
  </si>
  <si>
    <t>Obsolète</t>
  </si>
  <si>
    <t>LEROY SOMER</t>
  </si>
  <si>
    <t>XPSAT</t>
  </si>
  <si>
    <t>XCSA701</t>
  </si>
  <si>
    <t>Commercialisé</t>
  </si>
  <si>
    <t>1 446 64</t>
  </si>
  <si>
    <t>3TK2804-0BB4</t>
  </si>
  <si>
    <t>ATOS</t>
  </si>
  <si>
    <t>DHU-0711/14</t>
  </si>
  <si>
    <t>R900567512</t>
  </si>
  <si>
    <t>HYDAC</t>
  </si>
  <si>
    <t>SAF10M12T330A</t>
  </si>
  <si>
    <t>FESTO</t>
  </si>
  <si>
    <t>Embarreur</t>
  </si>
  <si>
    <t>6ES7315-1AF03-0AB0</t>
  </si>
  <si>
    <t>6ES7323-1BL00-0AA0</t>
  </si>
  <si>
    <t>BREMAS</t>
  </si>
  <si>
    <t>XCKM115</t>
  </si>
  <si>
    <t>CAMOZZI</t>
  </si>
  <si>
    <t>C238-L00</t>
  </si>
  <si>
    <t>ROGNONI</t>
  </si>
  <si>
    <t>T90LB4</t>
  </si>
  <si>
    <t>SSR91-60C</t>
  </si>
  <si>
    <t>DETAS</t>
  </si>
  <si>
    <t>GSA SWT109/145</t>
  </si>
  <si>
    <t>3RV1021-1GA15</t>
  </si>
  <si>
    <t>3RT1016-1BB41</t>
  </si>
  <si>
    <t>R900561286</t>
  </si>
  <si>
    <t>PARKER</t>
  </si>
  <si>
    <t>D1VW1CNJW75</t>
  </si>
  <si>
    <t>Désignation</t>
  </si>
  <si>
    <t xml:space="preserve">Fabricant </t>
  </si>
  <si>
    <t>ELEC</t>
  </si>
  <si>
    <t>RECHANGE</t>
  </si>
  <si>
    <t>MOD. 32 DO 24VCC 0.5A SM322</t>
  </si>
  <si>
    <t>MOD. 16 DO 24VCC 0.5A SM322</t>
  </si>
  <si>
    <t>REGLE MESURE LONGUEUR</t>
  </si>
  <si>
    <t>VAR. VITESSE SIMODRIVE 611</t>
  </si>
  <si>
    <t>RACK REGUL. SIMODRIVE 611</t>
  </si>
  <si>
    <t>MOTO-VENTILATEUR</t>
  </si>
  <si>
    <t>CODEUR ROTATIF MULTITOURS</t>
  </si>
  <si>
    <t>TRANSFORMATEUR COMMANDE</t>
  </si>
  <si>
    <t>MOT. ASYNCHRONE TRIPHASE</t>
  </si>
  <si>
    <t>MANOCONTACT / PRESSOSTAT</t>
  </si>
  <si>
    <t>ALIM. STABILISEE 24VCC</t>
  </si>
  <si>
    <t>PLC S7-300 CPU 314</t>
  </si>
  <si>
    <t>MOD. ENTREE SSI SM338</t>
  </si>
  <si>
    <t>MOD. 2 AO 11/12BIT SM332</t>
  </si>
  <si>
    <t>DETECTOR FRANCE</t>
  </si>
  <si>
    <t>BOITIER CONTROLE ELEC.</t>
  </si>
  <si>
    <t>PUPITRE IHM OP17/DP</t>
  </si>
  <si>
    <t>6AV3167-1JC20-0AX1</t>
  </si>
  <si>
    <t>VAR. BROCHE SIMODRIVE</t>
  </si>
  <si>
    <t>VAR. AVANCE SIMODRIVE</t>
  </si>
  <si>
    <t>CARTE REGUL. SIMODRIVE 611</t>
  </si>
  <si>
    <t>TOLE RACCORD. SIMODRIVE 611</t>
  </si>
  <si>
    <t>6SN1162-0EA00-0AA0</t>
  </si>
  <si>
    <t>SERVOMOTEUR AVANCE 1FK6</t>
  </si>
  <si>
    <t>MOTEUR BROCHE 1PH7</t>
  </si>
  <si>
    <t>1PH7133-2NG00-0BJ0</t>
  </si>
  <si>
    <t>ROQ 425 (ID:1131752-74)</t>
  </si>
  <si>
    <t>MANIVELLE ELECTR. IHM</t>
  </si>
  <si>
    <t>LSES 90L</t>
  </si>
  <si>
    <t>FADNIS (COSTECH)</t>
  </si>
  <si>
    <t>C22S23HKBE00</t>
  </si>
  <si>
    <t>RELAIS SECURITE XPSAT</t>
  </si>
  <si>
    <t>RELAIS SECURITE XPSAX</t>
  </si>
  <si>
    <t>XPSAX5120</t>
  </si>
  <si>
    <t>INTER. SECURITE XCSA701</t>
  </si>
  <si>
    <t>PEV-1/4-B</t>
  </si>
  <si>
    <t>BLOC SECURITE 3TK2804</t>
  </si>
  <si>
    <t>CONTACTEUR TRIPOLAIRE LC1</t>
  </si>
  <si>
    <t>LC1 D65 (LP1 D6511)</t>
  </si>
  <si>
    <t>Fin de vie du produit (01/10/2022)</t>
  </si>
  <si>
    <t>Pièce de rechange (01/10/2025)</t>
  </si>
  <si>
    <t>Produit actif</t>
  </si>
  <si>
    <t>???</t>
  </si>
  <si>
    <t>Fin de vie du produit (01/10/2018)</t>
  </si>
  <si>
    <t>Produit obsolète depuis le 30/09/2014</t>
  </si>
  <si>
    <t>Produit obsolète depuis le 30/09/2015</t>
  </si>
  <si>
    <t>Produit obsolète (12.11.2010)</t>
  </si>
  <si>
    <t>Pièce de rechange (03/11/2014)</t>
  </si>
  <si>
    <t>Pièce de rechange (01/04/2015)</t>
  </si>
  <si>
    <t>Pièce de rechange (01/10/2015)</t>
  </si>
  <si>
    <t>Fin de vie du produit (22/08/2008)</t>
  </si>
  <si>
    <t>Fin de production : 31 déc. 2010</t>
  </si>
  <si>
    <t>Fin de vie du produit (31/12/2011)</t>
  </si>
  <si>
    <t>DISTRIB. ELECT. DHU</t>
  </si>
  <si>
    <t>DHU-0713/14</t>
  </si>
  <si>
    <t>DISTRIB. 4WE6D62/OFEG24</t>
  </si>
  <si>
    <t>BOSCH REXROTH</t>
  </si>
  <si>
    <t>DISTRIB. 4WE6D52/AG24</t>
  </si>
  <si>
    <t>R900443143</t>
  </si>
  <si>
    <t>DISTRIB. 4WE6D1X/OFZG24</t>
  </si>
  <si>
    <t>081WV06P1V1020WS024/00D0</t>
  </si>
  <si>
    <t>BOSCH</t>
  </si>
  <si>
    <t>081WV06P1N112WS024/00A0</t>
  </si>
  <si>
    <t>ACCUMULATEUR HYDRAULIQUE</t>
  </si>
  <si>
    <t>SB330-4A1/112U-330A</t>
  </si>
  <si>
    <t>MANOMETRE 0-16B 1/4</t>
  </si>
  <si>
    <t>356759 (MA-50-16-1/4)</t>
  </si>
  <si>
    <t>DISTRIB. MISE EN CIRCUIT</t>
  </si>
  <si>
    <t>170691 (HEL-D-MIDI)</t>
  </si>
  <si>
    <t>DISTRIB. MISE CIRCUIT 24V</t>
  </si>
  <si>
    <t>172959 (HEE-D-MIDI-24)</t>
  </si>
  <si>
    <t>LUBRIFICATEUR MIDI</t>
  </si>
  <si>
    <t>192576 (LOE-D-MIDI)</t>
  </si>
  <si>
    <t>MODULE DE DERIVATION</t>
  </si>
  <si>
    <t>170685 (FRM-D-MIDI)</t>
  </si>
  <si>
    <t>170682 (HE-D-MIDI)</t>
  </si>
  <si>
    <t>FILTRE-MANODETENDEUR 3/8</t>
  </si>
  <si>
    <t>159583 (LFR-3/8-D-MIDI-A)</t>
  </si>
  <si>
    <t>HYD/PNE</t>
  </si>
  <si>
    <t>Fin de vie du produit (01/10/2016)</t>
  </si>
  <si>
    <t>Fin de vie du produit (01/10/2011)</t>
  </si>
  <si>
    <t>Fin de vie du produit (31/12/2025)</t>
  </si>
  <si>
    <t>Fin de vie du produit (30/09/2021)</t>
  </si>
  <si>
    <t>Produit obsolète depuis le 01/10/2013</t>
  </si>
  <si>
    <t>Plus de production</t>
  </si>
  <si>
    <t>Produit sera arrêté le 12/2028</t>
  </si>
  <si>
    <t>PLC S7-300 CPU 315</t>
  </si>
  <si>
    <t>MOD. COMPTAGE FM350</t>
  </si>
  <si>
    <t>CORPS INTERRUPTEUR POSITION</t>
  </si>
  <si>
    <t>PRESSOSTAT PNEUMATIQUE</t>
  </si>
  <si>
    <t>INTERRUPTEUR DE SECURITE</t>
  </si>
  <si>
    <t>PUPITRE IHM OP27</t>
  </si>
  <si>
    <t>COMMUTATEUR ARRET/MARCHE</t>
  </si>
  <si>
    <t>E30000CM</t>
  </si>
  <si>
    <t>ZCKM1</t>
  </si>
  <si>
    <t>ZCKD15</t>
  </si>
  <si>
    <t>ZCMD21</t>
  </si>
  <si>
    <t>C1280-D00</t>
  </si>
  <si>
    <t>MODULE ELECTRONIQUE RTS105M</t>
  </si>
  <si>
    <t>PARSEC</t>
  </si>
  <si>
    <t>RTS105M</t>
  </si>
  <si>
    <t>ELCO SRL</t>
  </si>
  <si>
    <t>CARLO GAVAZZI</t>
  </si>
  <si>
    <t>SCHMERSAL</t>
  </si>
  <si>
    <t>AZ 16-02ZVK-M16</t>
  </si>
  <si>
    <t>DISJ. MOTEUR SIRIUS 3R</t>
  </si>
  <si>
    <t>3RV1021-1AA15</t>
  </si>
  <si>
    <t>CONTACTEUR PUISSANCE</t>
  </si>
  <si>
    <t>6AV3627-6LK00-0AA0</t>
  </si>
  <si>
    <t>EATON</t>
  </si>
  <si>
    <t>MOELLER P1-25</t>
  </si>
  <si>
    <t>Statut Cycle de Vie (site fabricant)</t>
  </si>
  <si>
    <t>DISTRIB. 4WE6H62/EG24</t>
  </si>
  <si>
    <t>DISTRIB. 4WE6E62/EG24</t>
  </si>
  <si>
    <t>R900561278</t>
  </si>
  <si>
    <t>DISTRIB. HYD. D1VW</t>
  </si>
  <si>
    <t>D1VW2ENJW75</t>
  </si>
  <si>
    <t>FILTRE DE LIGNE LF60</t>
  </si>
  <si>
    <t>LF60G10C1 1/M</t>
  </si>
  <si>
    <t>LF SN 60 I C 20 A 1.0 /-B6</t>
  </si>
  <si>
    <t>MANOMETRE EN837-1</t>
  </si>
  <si>
    <t>WIKA</t>
  </si>
  <si>
    <t>EN837-1</t>
  </si>
  <si>
    <t>LF 60 I C 20 A 1.0/-B6</t>
  </si>
  <si>
    <t>Lien Produit</t>
  </si>
  <si>
    <t>https://sieportal.siemens.com/fr-fr/products-services/detail/6ES7314-1AE04-0AB0?tree=CatalogTree</t>
  </si>
  <si>
    <t>https://detector-france.com/produits/mesureur-longueur/h00/</t>
  </si>
  <si>
    <t>https://sieportal.siemens.com/fr-fr/products-services/detail/6AV3617-1JC20-0AX1?tree=CatalogTree</t>
  </si>
  <si>
    <t>https://sieportal.siemens.com/fr-ch/products-services/detail/6SN11180NH000AA2?tree=CatalogTree</t>
  </si>
  <si>
    <t>https://sieportal.siemens.com/fr-fr/products-services/detail/6SN1118-0NJ01-0AA1?tree=CatalogTree</t>
  </si>
  <si>
    <t>https://sieportal.siemens.com/fr-fr/products-services/detail/6SN1162-0EA00-0CA0?tree=CatalogTree</t>
  </si>
  <si>
    <t>https://sieportal.siemens.com/fr-fr/products-services/detail/6SN1162-0EA00-0AA0?tree=CatalogTree</t>
  </si>
  <si>
    <t>https://www.heidenhain.com/service-support/infobase/1131752-74</t>
  </si>
  <si>
    <t>https://acim.nidec.com/fr-CH/motors/leroy-somer/Products/induction-motors/3-phase-motors-for-standard-applications/lses</t>
  </si>
  <si>
    <t>https://www.se.com/fr/fr/product/XPSAX5120/contr%C3%B4leur-xpsax-arr%C3%AAt-d-urgence-24-v-ca-cc/</t>
  </si>
  <si>
    <t>https://telemecaniquesensors.com/global/en/product/reference/XCSA701</t>
  </si>
  <si>
    <t>https://www.festo.com/fr/fr/a/10773/</t>
  </si>
  <si>
    <t>https://www.legrand.fr/pro/catalogue/alimentation-stabilisee-a-decoupage-monophasee-et-biphasee-entree-200v-a-500v-et-sortie-24v-240w</t>
  </si>
  <si>
    <t>DISTRIBUTEUR R900567512 | R900567512 | Bosch Rexroth</t>
  </si>
  <si>
    <t>https://store.boschrexroth.com/fr/fr/p/r900443143</t>
  </si>
  <si>
    <t>rexroth | A Bosch Company</t>
  </si>
  <si>
    <t>https://www.hydac.com/shop/en/2121236</t>
  </si>
  <si>
    <t>https://www.hydac.com/shop/fr-fr/3047166</t>
  </si>
  <si>
    <t>https://www.festo.com/fr/fr/a/356759/?q=356759%7E%3AfestoSortOrderScored</t>
  </si>
  <si>
    <t>https://www.festo.com/fr/fr/a/170691/?q=170691%7E%3AfestoSortOrderScored</t>
  </si>
  <si>
    <t>https://www.festo.com/fr/fr/a/172959/?q=172959%7E%3AfestoSortOrderScored</t>
  </si>
  <si>
    <t>https://www.festo.com/fr/fr/a/192576/?q=192576%7E%3AfestoSortOrderScored</t>
  </si>
  <si>
    <t>https://www.festo.com/fr/fr/a/170685/?q=170685%7E%3AfestoSortOrderScored</t>
  </si>
  <si>
    <t>https://www.festo.com/fr/fr/a/170682/?q=170682%7E%3AfestoSortOrderScored</t>
  </si>
  <si>
    <t>http://festo.com/fr/fr/a/159583/?q=159583~%3AfestoSortOrderScored</t>
  </si>
  <si>
    <t>https://sieportal.siemens.com/fr-fr/products-services/detail/6ES7315-1AF03-0AB0?tree=CatalogTree</t>
  </si>
  <si>
    <t>https://sieportal.siemens.com/fr-fr/products-services/detail/6ES7323-1BL00-0AA0?tree=CatalogTree</t>
  </si>
  <si>
    <t>https://www.bremas.it/en/prodotto/E30000CM</t>
  </si>
  <si>
    <t>https://telemecaniquesensors.com/fr/fr/product/reference/XCKM115</t>
  </si>
  <si>
    <t>https://telemecaniquesensors.com/fr/fr/product/reference/ZCKM1</t>
  </si>
  <si>
    <t>https://telemecaniquesensors.com/fr/fr/product/reference/ZCKD15</t>
  </si>
  <si>
    <t>https://telemecaniquesensors.com/fr/fr/product/reference/ZCMD21</t>
  </si>
  <si>
    <t>https://www.elco-italy.com/prodotti/ssr-91-series-solid-state-relays/</t>
  </si>
  <si>
    <t>https://products.schmersal.com/de_DE/az-16-02zvk-m16-101154699.html</t>
  </si>
  <si>
    <t>https://sieportal.siemens.com/fr-fr/products-services/detail/3RV1021-1GA15?tree=CatalogTree</t>
  </si>
  <si>
    <t>https://sieportal.siemens.com/fr-fr/products-services/detail/3RV1021-1AA15?tree=CatalogTree</t>
  </si>
  <si>
    <t>https://sieportal.siemens.com/fr-fr/products-services/detail/3rt1016-1bb41?tree=CatalogTree</t>
  </si>
  <si>
    <t>https://sieportal.siemens.com/fr-fr/products-services/detail/6AV3627-6LK00-0AA0?tree=CatalogTree</t>
  </si>
  <si>
    <t>https://store.boschrexroth.com/fr/fr/p/distributeur-r900561286</t>
  </si>
  <si>
    <t>https://store.boschrexroth.com/fr/fr/p/distributeur-r900561278</t>
  </si>
  <si>
    <t>https://www.hydac.com/shop/fr-fr/310056</t>
  </si>
  <si>
    <t>https://www.wika.com/fr-fr/dss19f.WIKA?highlightedText=EN837-1</t>
  </si>
  <si>
    <t>TELEMECANIQUE/SCHNEIDER ELECTRIC</t>
  </si>
  <si>
    <t>INCONNU</t>
  </si>
  <si>
    <t>OBSOLETE</t>
  </si>
  <si>
    <t>ACTIF</t>
  </si>
  <si>
    <t>PHASE OUT</t>
  </si>
  <si>
    <t>EATON (MOELLER)</t>
  </si>
  <si>
    <t>6SN1118-0NH01-0AA0</t>
  </si>
  <si>
    <t>PUPITRE IHM OP17-DP</t>
  </si>
  <si>
    <t>ALIM. DECOUPAGE PHASEO ABL8</t>
  </si>
  <si>
    <t>ABL8WPS24200</t>
  </si>
  <si>
    <t>INTERRUPTEUR DE POSITION</t>
  </si>
  <si>
    <t>XCM-A100</t>
  </si>
  <si>
    <t>RELAIS SECURITE XPSAC</t>
  </si>
  <si>
    <t>XPSAC5121</t>
  </si>
  <si>
    <t>EMBASE CONNECTEUR INDUST.</t>
  </si>
  <si>
    <t>PHOENIX CONTACT</t>
  </si>
  <si>
    <t>HC-B 32-SMQ-72/M2PG29</t>
  </si>
  <si>
    <t>MANOSTAT / PRESSOSTAT</t>
  </si>
  <si>
    <t>0 811 160 031</t>
  </si>
  <si>
    <t>BLOC AUXILIAIRE COUPURE</t>
  </si>
  <si>
    <t>BACO CONTROLS</t>
  </si>
  <si>
    <t>LUTZE</t>
  </si>
  <si>
    <t>700881 (LV-V8-0881N)</t>
  </si>
  <si>
    <t>COFFRET COMMANDE BANDE</t>
  </si>
  <si>
    <t>AUTOMATION EQUIPEMENT</t>
  </si>
  <si>
    <t>TYPE 9536</t>
  </si>
  <si>
    <t>INTERRUPTEUR SECTIONNEUR</t>
  </si>
  <si>
    <t>POMPE HYDRAULIQUE PMS</t>
  </si>
  <si>
    <t>SPANDAU PUMPEN</t>
  </si>
  <si>
    <t>PMS</t>
  </si>
  <si>
    <t>DISTRIB. ELECT. WV N104</t>
  </si>
  <si>
    <t>081WV06P1N104WS024/00A0</t>
  </si>
  <si>
    <t>DISTRIB. ELECT. WV N101</t>
  </si>
  <si>
    <t>081WV06P1N101WS024/00A0</t>
  </si>
  <si>
    <t>081WV06P1N120WS024/00A0</t>
  </si>
  <si>
    <t>DISTRIB. ELECT. MD1B</t>
  </si>
  <si>
    <t>DUPLOMATIC</t>
  </si>
  <si>
    <t>MD1B-TA/40</t>
  </si>
  <si>
    <t>POMPE HYDRAULIQUE 150FAM</t>
  </si>
  <si>
    <t>PUMPENFABRIK</t>
  </si>
  <si>
    <t>150FAM025GT</t>
  </si>
  <si>
    <t>5SX2132-7</t>
  </si>
  <si>
    <t>SCHRACK</t>
  </si>
  <si>
    <t>RT314024</t>
  </si>
  <si>
    <t>6ES7350-1AH03-0AE0</t>
  </si>
  <si>
    <t>DISJ. MODULAIRE 32A 1P</t>
  </si>
  <si>
    <t>RELAIS PCB 24VCC 16A</t>
  </si>
  <si>
    <t>MOELLER P1-25 (172834)</t>
  </si>
  <si>
    <t xml:space="preserve">Filtre Hydraulique </t>
  </si>
  <si>
    <t>HIFI</t>
  </si>
  <si>
    <t>SH 63161</t>
  </si>
  <si>
    <t>Robinet bouton-poussoir</t>
  </si>
  <si>
    <t>DKA - R1 / 2 0 / 8 / M</t>
  </si>
  <si>
    <t>Produit obsolète (30/09/2013)</t>
  </si>
  <si>
    <t>Fin de service le:20 févr. 2026</t>
  </si>
  <si>
    <t>Fin de service : 12 Janvier 2022</t>
  </si>
  <si>
    <t>Fin de service le: 6 févr. 2024</t>
  </si>
  <si>
    <t>Produit non disponible</t>
  </si>
  <si>
    <t>Disponible</t>
  </si>
  <si>
    <t>Fin de vie du produit (01/10/2020)</t>
  </si>
  <si>
    <t>VALVE PNEUMATIQUE P3H</t>
  </si>
  <si>
    <t>P3HVA12LN</t>
  </si>
  <si>
    <t>REGULATEUR FILTRE P3H</t>
  </si>
  <si>
    <t>P3HEA12ESSBNGP</t>
  </si>
  <si>
    <t>LUBRIFICATEUR AIR P3H</t>
  </si>
  <si>
    <t>P3HLA12LSMN</t>
  </si>
  <si>
    <t>BOBINE ORIGA</t>
  </si>
  <si>
    <t>HOERBIGER</t>
  </si>
  <si>
    <t>ORIGA KG3009/0</t>
  </si>
  <si>
    <t>ELECTROVANNE ULCSV</t>
  </si>
  <si>
    <t>WAIRCOM</t>
  </si>
  <si>
    <t>ULCSV/R 02400</t>
  </si>
  <si>
    <t>ELECTROVANNE 5/2 DX1</t>
  </si>
  <si>
    <t>DX1-621-761M</t>
  </si>
  <si>
    <t>19114MTF</t>
  </si>
  <si>
    <t>https://sieportal.siemens.com/fr-fr/products-services/detail/6SN1118-0NH01-0AA0?tree=CatalogTree</t>
  </si>
  <si>
    <t>https://www.se.com/fr/fr/product/ABL8WPS24200/phaseo-abl8-alimentation-%C3%A0-d%C3%A9coupage-20a-380-%C3%A0-500v-triphas%C3%A9-24vcc/</t>
  </si>
  <si>
    <t>https://telemecaniquesensors.com/global/en/product/reference/XCMA110T300</t>
  </si>
  <si>
    <t>https://www.se.com/be/fr/product/XPSAC5121/contr%C3%B4leur-xpsac-arr%C3%AAt-durgence-24-v-ca-cc/</t>
  </si>
  <si>
    <t>https://www.phoenixcontact.com/en-be/products/hc-b-32-smq-72-m2pg29-1775716</t>
  </si>
  <si>
    <t>https://products.bacocontrols.com/item/all-categories/disconnect-switches/0172195</t>
  </si>
  <si>
    <t>https://www.luetze.com/fr-fr/catalogues/Cable-&amp;-Connectivity/Technique-d%E2%80%99antiparasitage/Connecteur-de-vanne%C2%A0-%C2%A0D%C3%A9parasitage-de-vanne/700881</t>
  </si>
  <si>
    <t>https://products.bacocontrols.com/item/all-categories/disconnect-switches/0174401</t>
  </si>
  <si>
    <t>https://www.spandaupumpen.com/product/pms/</t>
  </si>
  <si>
    <t>https://store.boschrexroth.com/fr/fr/p/0810090121</t>
  </si>
  <si>
    <t>https://sieportal.siemens.com/fr-fr/products-services/detail/5SX2132-7?tree=CatalogTree</t>
  </si>
  <si>
    <t>https://www.schrack.com/shop/control-technology/plug-in-print-timer-measuring-and-monitoring-relays/plug-in-relays/power-relays-schrack-series-rt/pcb-relay-1-c-o-24vdc-16a-pinning-5-0-rt314024.html?q=rt314024</t>
  </si>
  <si>
    <t>6ES7350-1AH03-0AE0 - Siemens SiePortal</t>
  </si>
  <si>
    <t>https://www.eaton.com/us/en-us/skuPage.172834.html</t>
  </si>
  <si>
    <t>https://catalog.hifi-filter.com/fr-FR/product/sh-63161/HF039299%20:%20%20:%20%20:%20%20:%20%20:%20V01</t>
  </si>
  <si>
    <t>OUI</t>
  </si>
  <si>
    <t>NON</t>
  </si>
  <si>
    <t>Successeur/Remplacement</t>
  </si>
  <si>
    <t>6SN1145-1BA02-0CA2</t>
  </si>
  <si>
    <t>6SN1123-1AA00-0LA3</t>
  </si>
  <si>
    <t>1FK7XX-2AXXX-XXXX</t>
  </si>
  <si>
    <t>6FC9320-5DB01</t>
  </si>
  <si>
    <t>6AV3617-1JC20-0AX2</t>
  </si>
  <si>
    <t>XPSATE</t>
  </si>
  <si>
    <t>ETC1+CDTPC2</t>
  </si>
  <si>
    <t>ROQ 425 (ID : 1353117-74)</t>
  </si>
  <si>
    <t>3RV2011-1GA15</t>
  </si>
  <si>
    <t>3RV2011-1AA15</t>
  </si>
  <si>
    <t>3RT2016-1BB41</t>
  </si>
  <si>
    <t>6SN1118-0NH01-0AA1</t>
  </si>
  <si>
    <t>MS6-DL-1/2 (Ref : 529817)</t>
  </si>
  <si>
    <t>MS6-EE-1/2-V24 (Ref : 611663)</t>
  </si>
  <si>
    <t>MS6-LOE-1/2-R (Ref : 529775)</t>
  </si>
  <si>
    <t>MS6-FRM-1/2 (Ref : 529853)</t>
  </si>
  <si>
    <t>MS6-EM1-1/2 (Ref : 541267)</t>
  </si>
  <si>
    <t>MS6-LFR-3/8-D7-ERV-AS</t>
  </si>
  <si>
    <t>service de mise à niveau ! référence de remplacement : 6SN1123-1AA00-0CA2</t>
  </si>
  <si>
    <t xml:space="preserve"> Pièce de rechange (01/04/2015)</t>
  </si>
  <si>
    <t>XPSATE est remplacé par XPSUAT</t>
  </si>
  <si>
    <t>https://detector-france.com/produits/ecran-tactile-etc1-cdt-pc2/</t>
  </si>
  <si>
    <t>https://sieportal.siemens.com/fr-fr/products-services/detail/6AV3617-1JC20-0AX2?tree=CatalogTree</t>
  </si>
  <si>
    <t>https://sieportal.siemens.com/fr-fr/products-services/detail/6SN1118-0NH01-0AA1?tree=CatalogTree</t>
  </si>
  <si>
    <t>https://www.heidenhain.com/service-support/infobase/1353117-74</t>
  </si>
  <si>
    <t>https://www.se.com/fr/fr/product/XPSATE3710/preventa-xpsat-module-arr%C3%AAt-durgence-230vca/</t>
  </si>
  <si>
    <t>https://www.festo.com/fr/fr/a/529817/</t>
  </si>
  <si>
    <t>https://www.festo.com/fr/fr/a/611663/</t>
  </si>
  <si>
    <t>https://www.festo.com/fr/fr/a/529775/</t>
  </si>
  <si>
    <t>https://www.festo.com/fr/fr/a/529853/</t>
  </si>
  <si>
    <t>https://www.festo.com/fr/fr/a/541267/</t>
  </si>
  <si>
    <t>https://www.festo.com/fr/fr/a/529230/</t>
  </si>
  <si>
    <t>https://sieportal.siemens.com/fr-fr/products-services/detail/3RV2011-1GA15?tree=CatalogTree</t>
  </si>
  <si>
    <t>https://sieportal.siemens.com/fr-fr/products-services/detail/3RT2016-1BB41?tree=CatalogTree</t>
  </si>
  <si>
    <t>C8M02</t>
  </si>
  <si>
    <t>C8M04</t>
  </si>
  <si>
    <t>C8M05</t>
  </si>
  <si>
    <t>Schütte AG18</t>
  </si>
  <si>
    <t>AIRTEC</t>
  </si>
  <si>
    <t>ATB</t>
  </si>
  <si>
    <t>CELDUC RELAIS</t>
  </si>
  <si>
    <t>COAX</t>
  </si>
  <si>
    <t>EMERSON (AVENTICS)</t>
  </si>
  <si>
    <t>EUCHNER</t>
  </si>
  <si>
    <t>HARMONIC DRIVE AG</t>
  </si>
  <si>
    <t>HARTING</t>
  </si>
  <si>
    <t>IFM ELECTRONIC</t>
  </si>
  <si>
    <t>KEBA INDUSTRIAL AUTOMATION</t>
  </si>
  <si>
    <t>KNOLL</t>
  </si>
  <si>
    <t>KRAUS &amp; NAIMER</t>
  </si>
  <si>
    <t>MURR ELEKTRONIK</t>
  </si>
  <si>
    <t>ORTLINGHAUS</t>
  </si>
  <si>
    <t>RITTAL</t>
  </si>
  <si>
    <t>SACEMI-GAMAR</t>
  </si>
  <si>
    <t>SCHRADER BELLOWS</t>
  </si>
  <si>
    <t>SWEP</t>
  </si>
  <si>
    <t>VEM MOTORS</t>
  </si>
  <si>
    <t>ALIM. SIMODRIVE 611 16/21 KW</t>
  </si>
  <si>
    <t>6SN1145-1BA01-0BA1</t>
  </si>
  <si>
    <t>CARTE REGUL. 2 AXES SIMODRIVE</t>
  </si>
  <si>
    <t>6SN1123-1AA00-0DA1</t>
  </si>
  <si>
    <t>MOD. FILTRE SIMODRIVE 16/21KW</t>
  </si>
  <si>
    <t>6SN1111-0AA01-0BA1</t>
  </si>
  <si>
    <t>CARTE REGUL. SIMODRIVE 611-D</t>
  </si>
  <si>
    <t>6SN1121-0BA11-0AA1</t>
  </si>
  <si>
    <t>MOD. PUISSANCE SIMODRIVE 611</t>
  </si>
  <si>
    <t>6SN1118-0AA11-0AA1</t>
  </si>
  <si>
    <t>3TF4022-0BB4</t>
  </si>
  <si>
    <t>3TH2040-0BB4</t>
  </si>
  <si>
    <t>ACCESSOIRE DISJONCTEUR 3VU13</t>
  </si>
  <si>
    <t>3VU9138-2AB00</t>
  </si>
  <si>
    <t>3RV1011-1JA10</t>
  </si>
  <si>
    <t>3RV1011-1AA10</t>
  </si>
  <si>
    <t>DISJONCTEUR TAILLE S00</t>
  </si>
  <si>
    <t>3RV1011-0KA10</t>
  </si>
  <si>
    <t>3RV1011-0EA10</t>
  </si>
  <si>
    <t>3RV1011-1KA10</t>
  </si>
  <si>
    <t>3RV1011-1CA10</t>
  </si>
  <si>
    <t>3RT1015-1BB41</t>
  </si>
  <si>
    <t>BLOC CONTACT NC HARMONY</t>
  </si>
  <si>
    <t>ZBE102</t>
  </si>
  <si>
    <t>DISJONCTEUR 6KA 1P C6</t>
  </si>
  <si>
    <t>5SX2106-7MB</t>
  </si>
  <si>
    <t>CONNECTEUR DE SIGNAUX</t>
  </si>
  <si>
    <t>6FC9348-7HU</t>
  </si>
  <si>
    <t>CONNECTEUR MOTEUR 1FT5</t>
  </si>
  <si>
    <t>6FC9348-7AD</t>
  </si>
  <si>
    <t>CONNECTEUR SIMODRIVE 15P</t>
  </si>
  <si>
    <t>6FC9348-7AT</t>
  </si>
  <si>
    <t>CONNECTEUR MALE SUB-D WF715</t>
  </si>
  <si>
    <t>6FM1790-8DA00</t>
  </si>
  <si>
    <t>BLOC CONTACTS AUXILIAIRES</t>
  </si>
  <si>
    <t>3TX4404-0A</t>
  </si>
  <si>
    <t>ALIM. PS307 24V 5A</t>
  </si>
  <si>
    <t>6ES7307-1EA00-0AA0</t>
  </si>
  <si>
    <t>6ES7365-0BA01-0AA0</t>
  </si>
  <si>
    <t>6ES7322-1BF01-0AA0</t>
  </si>
  <si>
    <t>6ES7315-2AH14-0AB0</t>
  </si>
  <si>
    <t>6ES7352-1AH01-0AE0</t>
  </si>
  <si>
    <t>MOD. 4 AO 11/12BIT SM332</t>
  </si>
  <si>
    <t>6ES7332-5HD01-0AB0</t>
  </si>
  <si>
    <t>6ES7354-1AH01-0AE0</t>
  </si>
  <si>
    <t>PUPITRE IHM OP 277 6"</t>
  </si>
  <si>
    <t>6AV6643-0BA01-1AX0</t>
  </si>
  <si>
    <t>BLOC CONTACT NO 22/30MM</t>
  </si>
  <si>
    <t>3SB1400-0B</t>
  </si>
  <si>
    <t>RAIL SUPPORT S7-300 482MM</t>
  </si>
  <si>
    <t>6ES7390-1AE80-0AA0</t>
  </si>
  <si>
    <t>ALIM. SITOP 24V 20A</t>
  </si>
  <si>
    <t>6EP1436-2BA00</t>
  </si>
  <si>
    <t>SERVOMOTEUR AVANCE 1FT5</t>
  </si>
  <si>
    <t>1FT5076-1AF71-4AB0</t>
  </si>
  <si>
    <t>MOTEUR ASYNCHRONE 1PH7</t>
  </si>
  <si>
    <t>1PH7137-2ND22-0CA2</t>
  </si>
  <si>
    <t>RELAIS TEMP. RETARD APPEL</t>
  </si>
  <si>
    <t>3RP1511-1AP30</t>
  </si>
  <si>
    <t>ABR1S418B</t>
  </si>
  <si>
    <t>ABR1E418B</t>
  </si>
  <si>
    <t>DISJONCTEUR MOTEUR GV2-M06</t>
  </si>
  <si>
    <t>GV2-M06</t>
  </si>
  <si>
    <t>DISJONCTEUR MOTEUR GV2-M10</t>
  </si>
  <si>
    <t>GV2-M10</t>
  </si>
  <si>
    <t>CONTACTEUR TESYS LP1K (KSA)</t>
  </si>
  <si>
    <t>LP1K0910BD</t>
  </si>
  <si>
    <t>BLOC CONTACTS AUX. TESYS</t>
  </si>
  <si>
    <t>LA1KN04</t>
  </si>
  <si>
    <t>DISJ. MOTEUR GV2ME14</t>
  </si>
  <si>
    <t>GV2ME14 / 6-10A</t>
  </si>
  <si>
    <t>CONTACTEUR TESYS LC1D</t>
  </si>
  <si>
    <t>LC1D12BD</t>
  </si>
  <si>
    <t>VENTILATEUR A FILTRE</t>
  </si>
  <si>
    <t>SK 3325.107</t>
  </si>
  <si>
    <t>MONITEUR CONTROLE FR-2</t>
  </si>
  <si>
    <t>DD 2006</t>
  </si>
  <si>
    <t>INTERRUPTEUR GENERAL</t>
  </si>
  <si>
    <t>KG100C</t>
  </si>
  <si>
    <t>ALIM. REDRESSEE FILTREE</t>
  </si>
  <si>
    <t>SUPPRESSEUR DIODE ZENER</t>
  </si>
  <si>
    <t>VAR. VITESSE YUKONDRIVE</t>
  </si>
  <si>
    <t>FILTRE RESEAU CEM</t>
  </si>
  <si>
    <t>LS80L</t>
  </si>
  <si>
    <t>RELAIS STATIQUE 4A</t>
  </si>
  <si>
    <t>XKLD0020</t>
  </si>
  <si>
    <t>INTERRUPTEUR SECURITE TZ</t>
  </si>
  <si>
    <t>TZ1RE024M (082051)</t>
  </si>
  <si>
    <t>BOBINE ELECTROVANNE</t>
  </si>
  <si>
    <t>P0160749</t>
  </si>
  <si>
    <t>0085-669-01-020000</t>
  </si>
  <si>
    <t>K21R 100 L2</t>
  </si>
  <si>
    <t>SP33</t>
  </si>
  <si>
    <t>POMPE ASPIRATION FKA500</t>
  </si>
  <si>
    <t>FKA500 TURBO</t>
  </si>
  <si>
    <t>LK1023</t>
  </si>
  <si>
    <t>BOBINE ELECTROVANNE 24VCC</t>
  </si>
  <si>
    <t>23-SP-011-G-412</t>
  </si>
  <si>
    <t>DISTRIB. ELECTROPNEUMATIQUE</t>
  </si>
  <si>
    <t>KN-05-510-PR2309-I42</t>
  </si>
  <si>
    <t>7000-18141-6280150</t>
  </si>
  <si>
    <t>REPARTITEUR PASSIF M12</t>
  </si>
  <si>
    <t>VANNE COAXIALE 2/2</t>
  </si>
  <si>
    <t>5-VMK 15 NC</t>
  </si>
  <si>
    <t>ELECTROVANNE COAXIALE</t>
  </si>
  <si>
    <t>POMPE A VIS HELICOIDALE</t>
  </si>
  <si>
    <t>KTS 32-76-T-G-KB</t>
  </si>
  <si>
    <t>MOTEUR BASSE TENSION</t>
  </si>
  <si>
    <t>1LE1023-1DA33-4FB4</t>
  </si>
  <si>
    <t>256338404-0003</t>
  </si>
  <si>
    <t>ECHANGEUR CHALEUR PLAQUES</t>
  </si>
  <si>
    <t>B8THX30/1P-SC-M</t>
  </si>
  <si>
    <t>Produit obsolète (30/09/2014)</t>
  </si>
  <si>
    <t>Produit obsolète (30/09/2015)</t>
  </si>
  <si>
    <t>Fin de vie du produit (15/10/2007)</t>
  </si>
  <si>
    <t>Fin de vie du produit (11/07/2003)</t>
  </si>
  <si>
    <t>Fin de vie du produit (01/06/2023)</t>
  </si>
  <si>
    <t>Abandon définitif de produit (26/11/2019)</t>
  </si>
  <si>
    <t>Produit actif </t>
  </si>
  <si>
    <t>Fin de vie du produit (01/04/2014)</t>
  </si>
  <si>
    <t>Fin de vie du produit(01/06/1995)</t>
  </si>
  <si>
    <t>Fin de vie du produit (06/11/2018)</t>
  </si>
  <si>
    <t>Fin de vie du produit(01/10/2021)</t>
  </si>
  <si>
    <t>Fin de vie du produit (01/01/2019)</t>
  </si>
  <si>
    <t>Fin de vie du produit (01/10/2015)</t>
  </si>
  <si>
    <t>Pièce de rechange (01/03/2017)</t>
  </si>
  <si>
    <t>Pièce de rechange (01/10/2021)</t>
  </si>
  <si>
    <t>Fin de vie du produit (22/03/2024)</t>
  </si>
  <si>
    <t>Fin de commercialisation active (01/10/2023)</t>
  </si>
  <si>
    <t>Produit obsolète (01/10/2016)</t>
  </si>
  <si>
    <t>Produit obsolète (01/10/2021)</t>
  </si>
  <si>
    <t>La production de ce produit a été arrêtée le:30 juin 2021</t>
  </si>
  <si>
    <t>La production de ce produit a été arrêtée le: 30 juin 2021</t>
  </si>
  <si>
    <t>Produit Exclusive</t>
  </si>
  <si>
    <t>https://sieportal.siemens.com/fr-fr/products-services/detail/6SN1145-1BA01-0BA1?tree=CatalogTree</t>
  </si>
  <si>
    <t>https://sieportal.siemens.com/fr-fr/products-services/detail/6SN1123-1AA00-0DA1?tree=CatalogTree</t>
  </si>
  <si>
    <t>https://sieportal.siemens.com/fr-fr/products-services/detail/6SN1111-0AA01-0BA1?tree=CatalogTree</t>
  </si>
  <si>
    <t>https://sieportal.siemens.com/fr-fr/products-services/detail/6SN1121-0BA11-0AA1?tree=CatalogTree</t>
  </si>
  <si>
    <t>https://sieportal.siemens.com/en-ww/products-services/detail/3TF40220BB4?tree=CatalogTree</t>
  </si>
  <si>
    <t>https://sieportal.siemens.com/fr-fr/products-services/detail/3TH2040-0BB4?tree=CatalogTree</t>
  </si>
  <si>
    <t>https://support.industry.siemens.com/cs/pd/1083158?pdti=pi&amp;dl=fr&amp;lc=fr-FR</t>
  </si>
  <si>
    <t>https://sieportal.siemens.com/fr-fr/products-services/detail/3RV1011-1JA10?tree=CatalogTree</t>
  </si>
  <si>
    <t>https://sieportal.siemens.com/fr-fr/products-services/detail/3RV1011-1AA10?tree=CatalogTree</t>
  </si>
  <si>
    <t>https://sieportal.siemens.com/fr-fr/products-services/detail/3RV1011-0KA10?tree=CatalogTree</t>
  </si>
  <si>
    <t>https://sieportal.siemens.com/fr-fr/products-services/detail/3RV1011-0EA10?tree=CatalogTree</t>
  </si>
  <si>
    <t>https://sieportal.siemens.com/fr-fr/products-services/detail/3RV1011-1KA10?tree=CatalogTree</t>
  </si>
  <si>
    <t>https://sieportal.siemens.com/fr-fr/products-services/detail/3RV1011-1CA10?tree=CatalogTree</t>
  </si>
  <si>
    <t>https://sieportal.siemens.com/fr-fr/products-services/detail/3RT1015-1BB41?tree=CatalogTree</t>
  </si>
  <si>
    <t>https://www.se.com/fr/fr/product/ZBE102/harmony-bloc-contact-1o-raccordement-vis%C3%A9trier/</t>
  </si>
  <si>
    <t>https://support.industry.siemens.com/cs/pd/350233?pdti=pi&amp;dl=fr&amp;lc=fr-FR</t>
  </si>
  <si>
    <t>https://sieportal.siemens.com/fr-ch/products-services/detail/6FC9348-7HU?tree=CatalogTree</t>
  </si>
  <si>
    <t>https://sieportal.siemens.com/fr-fr/products-services/detail/6FC9348-7AD?tree=CatalogTree</t>
  </si>
  <si>
    <t>https://sieportal.siemens.com/fr-fr/products-services/detail/6FC9348-7AT?tree=CatalogTree</t>
  </si>
  <si>
    <t>https://sieportal.siemens.com/fr-fr/products-services/detail/6FM1790-8DA00?tree=CatalogTree</t>
  </si>
  <si>
    <t>https://sieportal.siemens.com/fr-fr/products-services/detail/3TX4404-0A?tree=CatalogTree</t>
  </si>
  <si>
    <t>https://sieportal.siemens.com/fr-fr/products-services/detail/6ES7307-1EA00-0AA0?tree=CatalogTree</t>
  </si>
  <si>
    <t>https://sieportal.siemens.com/fr-fr/products-services/detail/6ES7365-0BA01-0AA0?tree=CatalogTree#overview</t>
  </si>
  <si>
    <t>https://sieportal.siemens.com/fr-fr/products-services/detail/6ES7322-1BF01-0AA0?tree=CatalogTree</t>
  </si>
  <si>
    <t>https://sieportal.siemens.com/fr-fr/products-services/detail/6ES7315-2AH14-0AB0?tree=CatalogTree</t>
  </si>
  <si>
    <t>https://sieportal.siemens.com/fr-fr/products-services/detail/6ES7352-1AH01-0AE0?tree=CatalogTree</t>
  </si>
  <si>
    <t>https://sieportal.siemens.com/fr-fr/products-services/detail/6ES7332-5HD01-0AB0?tree=CatalogTree</t>
  </si>
  <si>
    <t>https://sieportal.siemens.com/fr-fr/products-services/detail/6ES7354-1AH01-0AE0?tree=CatalogTree</t>
  </si>
  <si>
    <t>https://sieportal.siemens.com/fr-fr/products-services/detail/6AV6643-0BA01-1AX0?tree=CatalogTree</t>
  </si>
  <si>
    <t>https://sieportal.siemens.com/fr-fr/products-services/detail/3SB1400-0B?tree=CatalogTree</t>
  </si>
  <si>
    <t>https://sieportal.siemens.com/fr-fr/products-services/detail/6ES7390-1AE80-0AA0?tree=CatalogTree#overview</t>
  </si>
  <si>
    <t>https://sieportal.siemens.com/fr-fr/products-services/detail/6EP1436-2BA00?tree=CatalogTree</t>
  </si>
  <si>
    <t>https://sieportal.siemens.com/fr-fr/products-services/detail/1FT5076-1AF71-4AB0?tree=CatalogTree</t>
  </si>
  <si>
    <t>https://sieportal.siemens.com/fr-fr/products-services/detail/1PH7137-2ND22-0CA2?tree=CatalogTree</t>
  </si>
  <si>
    <t>https://sieportal.siemens.com/fr-fr/products-services/detail/3RP1511-1AP30?tree=CatalogTree</t>
  </si>
  <si>
    <t>https://www.se.com/fr/fr/product/ABR1S418B/zelio-module-dinterface-de-sortie-175mm-%C3%A9lectrom%C3%A9ca-24vca-cc-2f/</t>
  </si>
  <si>
    <t>https://www.se.com/fr/fr/product/ABR1E418B/zelio-module-dinterface-dentr%C3%A9e-175mm-%C3%A9lectrom%C3%A9ca-24vca-cc-2f/</t>
  </si>
  <si>
    <t>https://www.se.com/fr/fr/product/LP1K0910BD/tesys-lp1k-contacteur-3p-ac3-440v-9a-bobine-24vcc/</t>
  </si>
  <si>
    <t>https://www.se.com/fr/fr/product/LA1KN04/tesys-ca-bloc-de-contacts-auxiliaires-0f+4o-bornes-%C3%A0-vis%C3%A9triers/</t>
  </si>
  <si>
    <t>https://www.se.com/fr/fr/product/GV2ME14/tesys-gv2me-disj-moteur-6-10a-3p-3d-d%C3%A9clencheur-magn%C3%A9tothermique/</t>
  </si>
  <si>
    <t>https://www.se.com/fr/fr/product/LC1D12BD/tesys-lc1d-contacteur-3p-ac3-440v-12a-bobine-24vcc/</t>
  </si>
  <si>
    <t>https://shop.murrelektronik.fr/fr/Electronique-dans-l-armoire-lectrique/Alimentation-lectrique-DC/Alimentations-redress-es-filtr-es/Alimentation-redress-e-filtr-e-MEN-mono-biphas-e-85357.html</t>
  </si>
  <si>
    <t>https://shop.murrelektronik.com/en/Electronics-in-the-Control-Cabinet/EMC-Suppressors/Modules/SUPPRESSOR-FOR-SIEMENS-CONTACTOR-26036.html?listtype=search&amp;searchparam=26036&amp;src=search&amp;srchPage=1&amp;perPage=10&amp;pos=1</t>
  </si>
  <si>
    <t>https://harmonicdrive.de/en/products/servo-controllers/yukondrive#downloads</t>
  </si>
  <si>
    <t>https://acim.nidec.com/fr-CH/motors/leroy-somer/Products/induction-motors/3-phase-motors-for-standard-applications/ls</t>
  </si>
  <si>
    <t>https://www.e-catalogue.celduc-relais.com/fr/xkd/425-xkld0020.html</t>
  </si>
  <si>
    <t>https://www.euchner-usa.com/en-us/a/082051/</t>
  </si>
  <si>
    <t>https://www.harting.com/fr-FR/p/Han-B-Hood-Side-Entry-HC-4-Pegs-M32-19300160527</t>
  </si>
  <si>
    <t>https://www.ifm.com/fr/fr/product/LK1023?_gl=1*1rko3b2*_up*MQ..*_gs*MQ..&amp;gclid=Cj0KCQiA8KTNBhD_ARIsAOvp6DKm95djn6mG98N14l-M6ZNXlusU4pqMZbK-NlvAlwjFQAWiNHZ4AAIaAh5eEALw_wcB&amp;gbraid=0AAAAAo3RPPxikcmuxvsceib42wiHvdN_n</t>
  </si>
  <si>
    <t>https://www.air-techniques.fr/rob/bobine-24vdc-forme-b-23-sp-011-g-412.html</t>
  </si>
  <si>
    <t>https://shop.murrelektronik.fr/fr/Technologie-de-Connexion/Connecteur-d-lectrovannes/Avec-extr-mit-de-c-ble-libre/Connecteur-EV-forme-A-18mm-avec-c-ble-7000-18141-6280150.html</t>
  </si>
  <si>
    <t>https://shop.murrelektronik.fr/fr/oxid/R-partiteur-passif-plastique-8xM12-5-p-les-bornier-27106.html?listtype=search&amp;searchparam=27106&amp;src=search&amp;srchPage=1&amp;perPage=10&amp;pos=1</t>
  </si>
  <si>
    <t>https://co-ax.com/fr/vannes-coaxiales-a-2-2-voies-a-commande-externe/vk15.php</t>
  </si>
  <si>
    <t>https://www.knoll-mb.de/fr/produits/pompes/pompe-a-broches-helicoidales/pompe-a-broches-helicoidales-kts</t>
  </si>
  <si>
    <t>https://support.industry.siemens.com/cs/pd/539536?pdti=pc&amp;dl=fr&amp;lc=fr-FR</t>
  </si>
  <si>
    <t>DISTRIB. MISE EN CIRCUIT MS4</t>
  </si>
  <si>
    <t>541258 (MS4-EM1-1/4)</t>
  </si>
  <si>
    <t>FILTRE-MANODETENDEUR MS4</t>
  </si>
  <si>
    <t>529156 (MS4-LFR-1/4)</t>
  </si>
  <si>
    <t>LUBRIFICATEUR MS4</t>
  </si>
  <si>
    <t>529411 (MS4-LOE-1/4)</t>
  </si>
  <si>
    <t>MODULE DE DERIVATION MS4</t>
  </si>
  <si>
    <t>529556 (MS4-FRM-1/4)</t>
  </si>
  <si>
    <t>PRESSOSTAT HYDRAULIQUE VR2</t>
  </si>
  <si>
    <t>VR2 C,0</t>
  </si>
  <si>
    <t>VANNE DIRECTIONNELLE HYD.</t>
  </si>
  <si>
    <t>R422002730</t>
  </si>
  <si>
    <t>DISTRIBUTEUR 5/2 WV02</t>
  </si>
  <si>
    <t>DISTRIB. DIRECT. 4WE6E1X</t>
  </si>
  <si>
    <t>VALVE COMMANDE DIRECT. 4WE6</t>
  </si>
  <si>
    <t>BOBINE SOLENOIDE NG6</t>
  </si>
  <si>
    <t>CAPTEUR NIVEAU WS35 500MM</t>
  </si>
  <si>
    <t>VOGEL SCHMIERTECHNIK</t>
  </si>
  <si>
    <t>WS35-2+B28</t>
  </si>
  <si>
    <t>VANNE COMMANDE PNEUMATIQUE</t>
  </si>
  <si>
    <t>ODE</t>
  </si>
  <si>
    <t>21IA6T25GC2-H</t>
  </si>
  <si>
    <t>FILTRE FENTE A TAMBOUR</t>
  </si>
  <si>
    <t>RUEZ</t>
  </si>
  <si>
    <t>SFWW 2/512 DAS</t>
  </si>
  <si>
    <t>PRESSOSTAT PNEUMATIQUE 18D</t>
  </si>
  <si>
    <t>IMI NORGREN</t>
  </si>
  <si>
    <t>COMPOSANT NON IDENTIFIE</t>
  </si>
  <si>
    <t>UDO KLEUSBERG</t>
  </si>
  <si>
    <t>A/19544</t>
  </si>
  <si>
    <t>FILTRE/REGULATEUR EXCELON</t>
  </si>
  <si>
    <t>B72G-2GK-QD3-RMN</t>
  </si>
  <si>
    <t>COMPOSANT IMI NORGREN</t>
  </si>
  <si>
    <t>C72S-D0041</t>
  </si>
  <si>
    <t>COMPOSANT HYDAC</t>
  </si>
  <si>
    <t>TECSIS (WIKA)</t>
  </si>
  <si>
    <t>MINI-VANNE PNEUMATIQUE NF</t>
  </si>
  <si>
    <t>PXB-B391</t>
  </si>
  <si>
    <t>https://www.festo.com/fr/fr/a/541258/?q=541258%7E%3AfestoSortOrderScored</t>
  </si>
  <si>
    <t>https://www.festo.com/fr/fr/a/529156/?q=529156%7E%3AfestoSortOrderScored</t>
  </si>
  <si>
    <t>https://www.festo.com/fr/fr/a/529411/?q=529411%7E%3AfestoSortOrderScored</t>
  </si>
  <si>
    <t>https://www.festo.com/fr/fr/a/529556/?q=MS4-FRM-1%2F4-Y%7E%3AfestoSortOrderScored</t>
  </si>
  <si>
    <t>https://discreteautomation.emerson.com/fr/product/aventics-sku-r422002730</t>
  </si>
  <si>
    <t>https://discreteautomation.emerson.com/fr/product/aventics-sku-0820038602</t>
  </si>
  <si>
    <t>https://store.boschrexroth.com/en/de/p/0810091203</t>
  </si>
  <si>
    <t>https://store.boschrexroth.com/en/de/p/0810091227</t>
  </si>
  <si>
    <t>https://store.boschrexroth.com/fr/fr/p/1837001227</t>
  </si>
  <si>
    <t>https://www.vogel-zentralschmierung.de/en/level-switch-ws35-585?number=WS35-2%2BB28</t>
  </si>
  <si>
    <t>https://www.ode-france.fr/catalogue-vannes-pneumatiques</t>
  </si>
  <si>
    <t>https://www.norgren.com/en/products/extrabase/0880324000000000</t>
  </si>
  <si>
    <t>https://www.norgren.com/en/products/b72g-2gk-qd3-rmn</t>
  </si>
  <si>
    <t>Produit en fin de vie</t>
  </si>
  <si>
    <t>Schütte SF20</t>
  </si>
  <si>
    <t>MOD. COMPTAGE FM 350-1</t>
  </si>
  <si>
    <t>6ES7350-1AH01-0AE0</t>
  </si>
  <si>
    <t>FILTRE ELECTRONIQUE TDC 05/M</t>
  </si>
  <si>
    <t>TDC 05/M</t>
  </si>
  <si>
    <t>CARTE AMPLI. NUM. HYDRAU.</t>
  </si>
  <si>
    <t>REXROTH HYDRAULICS</t>
  </si>
  <si>
    <t>VSPA1</t>
  </si>
  <si>
    <t>COMPOSANT HYDRONORMA</t>
  </si>
  <si>
    <t>HYDRONORMA</t>
  </si>
  <si>
    <t>6V45A4A 450</t>
  </si>
  <si>
    <t>R900021389</t>
  </si>
  <si>
    <t>Fin de vie du produit (01/10/2013)</t>
  </si>
  <si>
    <t>HYDRONOMA</t>
  </si>
  <si>
    <t>DISTRIB. 4WE6HA61/EG24</t>
  </si>
  <si>
    <t>R900549534</t>
  </si>
  <si>
    <t>LIMIT. PRESSION PROP. DBE6</t>
  </si>
  <si>
    <t>R900924428</t>
  </si>
  <si>
    <t>https://sieportal.siemens.com/fr-fr/products-services/detail/6ES7350-1AH01-0AE0?tree=CatalogTree</t>
  </si>
  <si>
    <t>https://store.boschrexroth.com/fr/fr/p/r900782310</t>
  </si>
  <si>
    <t>https://store.boschrexroth.com/fr/fr/p/solenoide-r900021389</t>
  </si>
  <si>
    <t>https://store.boschrexroth.com/fr/fr/p/distributeur-r900549534</t>
  </si>
  <si>
    <t>https://store.boschrexroth.com/fr/fr/p/r900924428</t>
  </si>
  <si>
    <t>REFERENCE</t>
  </si>
  <si>
    <t>FABRICANT</t>
  </si>
  <si>
    <t>STATUT CYCLE DE VIE</t>
  </si>
  <si>
    <t>Référence Remp/Succ</t>
  </si>
  <si>
    <t>Fabricant Remp/Succ</t>
  </si>
  <si>
    <t>Statut Cycle de Vie Remp/Succ (site fabricant)</t>
  </si>
  <si>
    <t>Statut Cycle de Vie Remp/Succ</t>
  </si>
  <si>
    <t>Lien Produit Remp/Succ</t>
  </si>
  <si>
    <t>Commentaire</t>
  </si>
  <si>
    <t>Sous Ensemble</t>
  </si>
  <si>
    <t>Type Composant</t>
  </si>
  <si>
    <t>Désignation Remp/Succ</t>
  </si>
  <si>
    <t>DESIGNATION</t>
  </si>
  <si>
    <t xml:space="preserve">REMPLACEMENT/SUCCESSEUR </t>
  </si>
  <si>
    <t>REFERENCE DE REMP/SUCC</t>
  </si>
  <si>
    <t>STATUT CYCLE DE VIE SUCC/REMP</t>
  </si>
  <si>
    <t>6SN1118-0NH01-0AA1 A PARTIR DE FW 8.3</t>
  </si>
  <si>
    <t>ABLU3A24200</t>
  </si>
  <si>
    <t>XCMD2110M12</t>
  </si>
  <si>
    <t>XPSBAC14AP</t>
  </si>
  <si>
    <t>HC-STA-B32-SHWD-2SSP29-ELC-AL</t>
  </si>
  <si>
    <t>5SL6106-7MB D70MM INSTEAD OF D55MM</t>
  </si>
  <si>
    <t>5SY6132-7 ou 5SL6132-7 T70mm au lieu de T55mm</t>
  </si>
  <si>
    <t>6SN1145-1BA01-0BA2</t>
  </si>
  <si>
    <t>6SN1123-1AA00-0DA2</t>
  </si>
  <si>
    <t>6SN1111-0AA01-0BA2</t>
  </si>
  <si>
    <t>3RH2140-2BB40</t>
  </si>
  <si>
    <t>3RT2015-1BB41</t>
  </si>
  <si>
    <t>6FX2003-0SU10</t>
  </si>
  <si>
    <t>6ES7307-1EA01-0AA0</t>
  </si>
  <si>
    <t>6ES7352-1AH02-0AE0</t>
  </si>
  <si>
    <t>6EP1436-2BA10</t>
  </si>
  <si>
    <t>1FT6/1FK7 (en partie compatible)</t>
  </si>
  <si>
    <t>3RP2511-1AW30</t>
  </si>
  <si>
    <t>SK 3239.100</t>
  </si>
  <si>
    <t>Suppression de produit (01/04/2015)</t>
  </si>
  <si>
    <t>Fin de vie du produit (01/04/2010)</t>
  </si>
  <si>
    <t>Fin de vie du produit(01/10/2005)</t>
  </si>
  <si>
    <t>Pièce de rechange
 (01/10/2025)</t>
  </si>
  <si>
    <t>XPSBAC14AC</t>
  </si>
  <si>
    <t>GV2ME06</t>
  </si>
  <si>
    <t>GV2ME10</t>
  </si>
  <si>
    <t>Qte</t>
  </si>
  <si>
    <t>DISTRIB. ELECT.</t>
  </si>
  <si>
    <t xml:space="preserve">DISTRIB. ELECT. WV N120 </t>
  </si>
  <si>
    <t xml:space="preserve">SOLENOIDE GZ45-4 24V </t>
  </si>
  <si>
    <t xml:space="preserve">INTER. FIN COURSE SECURITE </t>
  </si>
  <si>
    <t xml:space="preserve">RELAIS STATIQUE </t>
  </si>
  <si>
    <t xml:space="preserve">CAPOT CONNECTEUR M40 </t>
  </si>
  <si>
    <t xml:space="preserve">CAPTEUR NIVEAU ELEC. </t>
  </si>
  <si>
    <t xml:space="preserve">ADAPTATEUR ENFICHAGE </t>
  </si>
  <si>
    <t xml:space="preserve">CONNECTEUR EV FORME A </t>
  </si>
  <si>
    <t xml:space="preserve">MOD. COMMANDE EMBRAYAGE </t>
  </si>
  <si>
    <t xml:space="preserve">VALVE PNEUMATIQUE </t>
  </si>
  <si>
    <t xml:space="preserve">MOD. 16DI/DO 24VCC SM323 </t>
  </si>
  <si>
    <t xml:space="preserve">MOD. 32 DI 24VCC SM321 </t>
  </si>
  <si>
    <t xml:space="preserve">MOD. POSITIONNEM. FM354 </t>
  </si>
  <si>
    <t xml:space="preserve">MOD. 8 DI/DO 2A SM322 </t>
  </si>
  <si>
    <t xml:space="preserve">COUPLEUR IM365 </t>
  </si>
  <si>
    <t xml:space="preserve">CONTACTEUR TAILLE 0 </t>
  </si>
  <si>
    <t xml:space="preserve">CONTACTEUR AUXILIAIRE </t>
  </si>
  <si>
    <t xml:space="preserve">CONTACTEUR AC-3 3KW </t>
  </si>
  <si>
    <t xml:space="preserve">MOD. CAME ELEC. FM352 </t>
  </si>
  <si>
    <t xml:space="preserve">DISJONCTEUR TAILLE S00 </t>
  </si>
  <si>
    <t xml:space="preserve">INTERFACE SORTIE ZELIO </t>
  </si>
  <si>
    <t xml:space="preserve">INTERFACE ENTREE ZELIO </t>
  </si>
  <si>
    <t xml:space="preserve">INTERRUPTEUR POSITION </t>
  </si>
  <si>
    <t xml:space="preserve">CORPS INTERRUPTEUR POS. </t>
  </si>
  <si>
    <t xml:space="preserve">TETE INTERRUPTEUR POS. </t>
  </si>
  <si>
    <t>FABRICANT REMP/SUCC</t>
  </si>
  <si>
    <t>172195</t>
  </si>
  <si>
    <t>174401</t>
  </si>
  <si>
    <t>1837001227</t>
  </si>
  <si>
    <t>810091203</t>
  </si>
  <si>
    <t>810091227</t>
  </si>
  <si>
    <t>400163</t>
  </si>
  <si>
    <t>820022987</t>
  </si>
  <si>
    <t>820038602</t>
  </si>
  <si>
    <t>1023808</t>
  </si>
  <si>
    <t>19300160527</t>
  </si>
  <si>
    <t>723445</t>
  </si>
  <si>
    <t>8803240000000000</t>
  </si>
  <si>
    <t>996,2013</t>
  </si>
  <si>
    <t>42444</t>
  </si>
  <si>
    <t>85357</t>
  </si>
  <si>
    <t>26036</t>
  </si>
  <si>
    <t>27106</t>
  </si>
  <si>
    <t>DESIGNATION REMP/SUCC</t>
  </si>
  <si>
    <t>SCHÜTTE AG18</t>
  </si>
  <si>
    <t>PRODUIT OBSOLÈTE (30/09/2018)</t>
  </si>
  <si>
    <t>PIÈCE DE RECHANGE (01/04/2015)</t>
  </si>
  <si>
    <t>PREMIER_LOGIN</t>
  </si>
  <si>
    <t>IDENTIFIANT</t>
  </si>
  <si>
    <t>MOT_DE_PASSE</t>
  </si>
  <si>
    <t>ROLE</t>
  </si>
  <si>
    <t>ADMIN</t>
  </si>
  <si>
    <t>SLAGRAM</t>
  </si>
  <si>
    <t>PFALIERES</t>
  </si>
  <si>
    <t>FBOISSENIN</t>
  </si>
  <si>
    <t>DATE/HEURE</t>
  </si>
  <si>
    <t>UTILISATEUR</t>
  </si>
  <si>
    <t>ACTION</t>
  </si>
  <si>
    <t>DETAIL</t>
  </si>
  <si>
    <t>CONNEXION</t>
  </si>
  <si>
    <t>Session ouverte par SLAGRAM</t>
  </si>
  <si>
    <t>FPRITZY</t>
  </si>
  <si>
    <t>AJOUT</t>
  </si>
  <si>
    <t xml:space="preserve">Machine:  | Réf: </t>
  </si>
  <si>
    <t>SUPPRESSION GLOBALE</t>
  </si>
  <si>
    <t>Réf: 1234 totalement effacée de la base</t>
  </si>
  <si>
    <t xml:space="preserve">Machine: SA | Réf: </t>
  </si>
  <si>
    <t>Réf: 123456789 totalement effacée de la base</t>
  </si>
  <si>
    <t>PIÈCE DE RECHANGE (01/10/2015)</t>
  </si>
  <si>
    <t>https://sieportal.siemens.com/fr-fr/products-services/detail/1PH7133-2NG00-0BJ0?tree=CatalogTree</t>
  </si>
  <si>
    <t>MODIF_CATALOGUE</t>
  </si>
  <si>
    <t>Mise à jour complète Réf: 1PH7133-2NG00-0BJ0</t>
  </si>
  <si>
    <t>Utilisateur identifié</t>
  </si>
  <si>
    <t>Machine: SQ | Réf: QA</t>
  </si>
  <si>
    <t>SUPPR TOTALE</t>
  </si>
  <si>
    <t>Réf: QA éradiquée du serveur</t>
  </si>
  <si>
    <t>SÉCURITÉ</t>
  </si>
  <si>
    <t>Changement de MDP réussi</t>
  </si>
  <si>
    <t>MODIF GLOBALE</t>
  </si>
  <si>
    <t>Réf: QA mise à jour sur le serveur</t>
  </si>
  <si>
    <t>REMPLACEMENT</t>
  </si>
  <si>
    <t>De QA vers EE</t>
  </si>
  <si>
    <t>Réf: EE éradiquée du serveur</t>
  </si>
  <si>
    <t>LCHAUVIN</t>
  </si>
  <si>
    <t>AVERNERET</t>
  </si>
  <si>
    <t>SBONNET</t>
  </si>
  <si>
    <t>FSYLVESTRE</t>
  </si>
  <si>
    <t>FBARTHOD</t>
  </si>
  <si>
    <t>EDEFERT</t>
  </si>
  <si>
    <t>CPONCET</t>
  </si>
  <si>
    <t>TROCHA</t>
  </si>
  <si>
    <t>SCOURVOISIER</t>
  </si>
  <si>
    <t>STATUT CYCLE DE VIE (COMME  DIT SUR SITE FABRICANT)</t>
  </si>
  <si>
    <t>LIEN PRODUIT</t>
  </si>
  <si>
    <t>STATUT CYCLE DE VIE REMP (COMME DIT SUR SITE FABRICANT)</t>
  </si>
  <si>
    <t>LIEN SUCC/REMP</t>
  </si>
  <si>
    <t>-</t>
  </si>
  <si>
    <t>Machine: C8M01 | Réf: 20032003</t>
  </si>
  <si>
    <t>Machine: C8M02 | Réf: 199999</t>
  </si>
  <si>
    <t>Réf: 199999 mise à jour sur le serveur</t>
  </si>
  <si>
    <t>Réf: 199999 éradiquée du serveur</t>
  </si>
  <si>
    <t>Machine: C8M05 | Réf: 20032003</t>
  </si>
  <si>
    <t>Réf: 20032003 éradiquée du serveur</t>
  </si>
  <si>
    <t>De 20032003 vers 1999</t>
  </si>
  <si>
    <t>De 1999 vers 5555</t>
  </si>
  <si>
    <t>USER</t>
  </si>
  <si>
    <t>AFFECTATION</t>
  </si>
  <si>
    <t>Réf existante  mise sur c8m06</t>
  </si>
  <si>
    <t>Réf existante  mise sur SQ</t>
  </si>
  <si>
    <t>VEILLE WEB</t>
  </si>
  <si>
    <t>Changement détecté pour 23-SP-011-G-412</t>
  </si>
  <si>
    <t>DATE SCAN</t>
  </si>
  <si>
    <t>STATUT ACTUEL</t>
  </si>
  <si>
    <t>STATUT DETECTE</t>
  </si>
  <si>
    <t>LIEN VERIFIE</t>
  </si>
  <si>
    <t>Scan terminé : 80 alertes trouvées</t>
  </si>
  <si>
    <t>Machine: SQ | Réf: 2004</t>
  </si>
  <si>
    <t>REGR U2A OPT-N</t>
  </si>
  <si>
    <t>PRODUIT OBSOLÈTE (30/09/2013)</t>
  </si>
  <si>
    <t>Réf: 6SN1118-0AA11-0AA1 mise à jour sur le serveur</t>
  </si>
  <si>
    <t>Ouverture de session réussie</t>
  </si>
  <si>
    <t>Mise à jour Master Data pour Réf: 2005</t>
  </si>
  <si>
    <t>Mise à jour Master Data pour Réf: 2004</t>
  </si>
  <si>
    <t>Substitution de 2004 par ZBIZBI</t>
  </si>
  <si>
    <t>Réf: ZBIZBI éradiquée du serveur</t>
  </si>
  <si>
    <t>Machine: C8M01 | Réf: XX</t>
  </si>
  <si>
    <t>Réf: XX éradiquée du serveur</t>
  </si>
  <si>
    <t>PRODUIT OBSOLÈTE DEPUIS LE 01/10/2016</t>
  </si>
  <si>
    <t>https://sieportal.siemens.com/fr-fr/products-services/detail/1fk6101-8af71-1tg0?tree=CatalogTree</t>
  </si>
  <si>
    <t>Mise à jour Master Data pour Réf: 1FK6101-8AF71-1TG0</t>
  </si>
  <si>
    <t>PIÈCE DE RECHANGE (01/10/2025)</t>
  </si>
  <si>
    <t>https://sieportal.siemens.com/fr-fr/products-services/detail/6ES7338-4BC01-0AB0?tree=CatalogTree</t>
  </si>
  <si>
    <t>Mise à jour Master Data pour Réf: 6ES7338-4BC01-0AB0</t>
  </si>
  <si>
    <t>https://sieportal.siemens.com/en-ww/products-services/detail/6ES7321-1BL00-0AA0?tree=CatalogTree</t>
  </si>
  <si>
    <t>https://sieportal.siemens.com/en-ww/products-services/detail/6ES73221BL000AA0?tree=CatalogTree</t>
  </si>
  <si>
    <t>https://sieportal.siemens.com/en-ww/products-services/detail/6ES73221BH010AA0?tree=CatalogTree</t>
  </si>
  <si>
    <t>https://sieportal.siemens.com/en-ww/products-services/detail/6ES7332-5HB01-0AB0?tree=CatalogTree</t>
  </si>
  <si>
    <t>https://sieportal.siemens.com/en-ww/products-services/detail/6SN1118-0AA11-0AA1?tree=CatalogTree</t>
  </si>
  <si>
    <t>6SN1118-0NH01-0AA1 (À PARTIR DE FW 8.3)</t>
  </si>
  <si>
    <t>Pièce de rechange (01/10/2004)</t>
  </si>
  <si>
    <t>https://sieportal.siemens.com/fr-ww/products-services/detail/6ES7350-1AH02-0AE0?tree=CatalogTree</t>
  </si>
  <si>
    <t>https://sieportal.siemens.com/fr-ww/products-services/detail/3TK2804-0BB4?tree=CatalogTree</t>
  </si>
  <si>
    <t>https://support.industry.siemens.com/cs/pd/44658?pdti=pi&amp;dl=fr&amp;lc=fr-FR</t>
  </si>
  <si>
    <t>https://sieportal.siemens.com/en-ww/products-services/detail/6SN1145-1BA02-0CA2?tree=CatalogTree</t>
  </si>
  <si>
    <t>https://sieportal.siemens.com/en-ww/products-services/detail/6SN1123-1AA00-0LA3?tree=CatalogTree</t>
  </si>
  <si>
    <t>https://sieportal.siemens.com/en-ww/products-services/detail/6SN1123-1AA00-0LA1?tree=CatalogTree</t>
  </si>
  <si>
    <t>https://support.industry.siemens.com/cs/pd/480058?pdti=pi&amp;dl=fr&amp;lc=fr-FR</t>
  </si>
  <si>
    <t>https://sieportal.siemens.com/fr-ww/products-services/detail/6SN1123-1AA00-0CA2?tree=CatalogTree</t>
  </si>
  <si>
    <t>https://sieportal.siemens.com/fr-ww/products-services/detail/6FC9320-5DB00?tree=CatalogTree</t>
  </si>
  <si>
    <t>https://sieportal.siemens.com/fr-ww/products-services/detail/6FC9320-5DB01?tree=CatalogTree</t>
  </si>
  <si>
    <t>https://sieportal.siemens.com/fr-ww/products-services/detail/5SY6132-7?tree=CatalogTree</t>
  </si>
  <si>
    <t>https://sieportal.siemens.com/fr-ww/products-services/detail/6SN1118-0NH01-0AA1?tree=CatalogTree</t>
  </si>
  <si>
    <t>https://sieportal.siemens.com/fr-ww/products-services/detail/6AV3617-1JC20-0AX2?tree=CatalogTree</t>
  </si>
  <si>
    <t>Pièce de rechange
 (01/04/2015)</t>
  </si>
  <si>
    <t>https://sieportal.siemens.com/fr-ww/products-services/detail/6ES7350-1AH03-0AE0?tree=CatalogTree</t>
  </si>
  <si>
    <t>Réf: ?? éradiquée du serveur</t>
  </si>
  <si>
    <t>Réf: ??? éradiquée du serveur</t>
  </si>
  <si>
    <t>Machine: C8M01 | Réf: HAHA</t>
  </si>
  <si>
    <t>Réf: HAHA éradiquée du serveur</t>
  </si>
  <si>
    <t>Réf: X éradiquée du serveur</t>
  </si>
  <si>
    <t>Réf: (A COMPLETER) éradiquée du serveur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</si>
</sst>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2B2D3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sz val="11"/>
      <color theme="1"/>
      <name val="Arial"/>
      <family val="2"/>
    </font>
    <font>
      <sz val="8"/>
      <color rgb="FF0000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4" fillId="3" borderId="1" xfId="1" applyFont="1" applyFill="1" applyBorder="1" applyAlignment="1">
      <alignment horizontal="center" vertical="center"/>
    </xf>
    <xf numFmtId="0" fontId="2" fillId="3" borderId="0" xfId="0" applyFont="1" applyFill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Font="1"/>
    <xf numFmtId="49" fontId="1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0" xfId="0" applyFont="1"/>
  </cellXfs>
  <cellStyles count="2">
    <cellStyle name="Lien hypertexte" xfId="1" builtinId="8"/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B2D31"/>
        <name val="Arial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B8A9D-4EEC-4DB7-8281-3D05D0D3A566}" name="Tbl_Catalogue" displayName="Tbl_Catalogue" ref="A1:M203" totalsRowShown="0" dataDxfId="78">
  <autoFilter ref="A1:M203" xr:uid="{20983B1C-AA81-423C-97D8-37671FFB09E0}"/>
  <sortState ref="A2:L202">
    <sortCondition ref="B2:B202"/>
  </sortState>
  <tableColumns count="13">
    <tableColumn id="1" xr3:uid="{31759B50-FB16-4A69-81A9-7F6B0296F9E0}" name="REFERENCE" dataDxfId="77"/>
    <tableColumn id="2" xr3:uid="{785A8F28-A2DE-4E65-978D-72E6A57B5E3B}" name="FABRICANT" dataDxfId="76"/>
    <tableColumn id="3" xr3:uid="{C6B12C60-61C5-4C6C-A432-AC5A501CBB4D}" name="DESIGNATION" dataDxfId="75"/>
    <tableColumn id="10" xr3:uid="{82A0774D-34ED-4C20-A19D-68FED9BFCA17}" name="STATUT CYCLE DE VIE (COMME  DIT SUR SITE FABRICANT)" dataDxfId="74"/>
    <tableColumn id="4" xr3:uid="{4D5FC3A9-32C7-4224-AEE2-B1AD68CBBD2C}" name="STATUT CYCLE DE VIE" dataDxfId="73"/>
    <tableColumn id="11" xr3:uid="{09756FF9-0399-4288-874E-41CCCECE0BE6}" name="LIEN PRODUIT" dataDxfId="72"/>
    <tableColumn id="7" xr3:uid="{EF191057-8735-49AD-AD3D-332C447D454A}" name="REMPLACEMENT/SUCCESSEUR " dataDxfId="71"/>
    <tableColumn id="5" xr3:uid="{DDB4B5EE-AA8A-4400-BBBF-C9FA5D70DBAA}" name="REFERENCE DE REMP/SUCC" dataDxfId="70"/>
    <tableColumn id="9" xr3:uid="{E025D41B-342B-4796-81FE-8CDDBA734A30}" name="FABRICANT REMP/SUCC" dataDxfId="69"/>
    <tableColumn id="6" xr3:uid="{4E4522E2-EC57-40CF-8E85-F10D10F30DF1}" name="DESIGNATION REMP/SUCC" dataDxfId="68"/>
    <tableColumn id="12" xr3:uid="{30B88B2E-2EE9-45C7-B7AF-E3B80246EBF5}" name="STATUT CYCLE DE VIE REMP (COMME DIT SUR SITE FABRICANT)" dataDxfId="67"/>
    <tableColumn id="8" xr3:uid="{18C5692A-594B-42C9-B1CC-C06B43E30793}" name="STATUT CYCLE DE VIE SUCC/REMP" dataDxfId="66"/>
    <tableColumn id="13" xr3:uid="{2C9923BE-8769-4A72-B552-36296AF9C2E4}" name="LIEN SUCC/REMP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4796F7-5154-4AFC-A529-FEA7D0E651CE}" name="Tbl_Donnees" displayName="Tbl_Donnees" ref="A1:R273" totalsRowShown="0" headerRowDxfId="64" dataDxfId="63">
  <autoFilter ref="A1:R273" xr:uid="{A06BE0C2-DAE9-4C59-B92E-8DBD5DDA8724}"/>
  <sortState ref="A2:R273">
    <sortCondition ref="A1:A273"/>
    <sortCondition ref="B1:B273"/>
  </sortState>
  <tableColumns count="18">
    <tableColumn id="1" xr3:uid="{E9A50CFF-8362-40AF-9938-BAFD030B9CD5}" name="Machine" dataDxfId="62"/>
    <tableColumn id="2" xr3:uid="{6C01ADFA-0F48-4BA3-A7F6-1452BE798D87}" name="Sous Ensemble" dataDxfId="61"/>
    <tableColumn id="3" xr3:uid="{05C22E3C-2B07-4405-A1F7-DEBCD55360C4}" name="Type Composant" dataDxfId="60"/>
    <tableColumn id="4" xr3:uid="{2D665271-0D43-4BB5-BA17-BB88942F1345}" name="Désignation" dataDxfId="59">
      <calculatedColumnFormula>IFERROR(IF(VLOOKUP(Tbl_Donnees[[#This Row],[Référence]]&amp;"",Tbl_Catalogue[],3,FALSE)=0,"-",VLOOKUP(Tbl_Donnees[[#This Row],[Référence]]&amp;"",Tbl_Catalogue[],3,FALSE)),"-")</calculatedColumnFormula>
    </tableColumn>
    <tableColumn id="18" xr3:uid="{CC4F571E-26C0-40D8-B4E0-057EDA33D5BC}" name="Qte" dataDxfId="58"/>
    <tableColumn id="5" xr3:uid="{E999B7B9-6D04-47A6-982B-FC319CFEE92C}" name="Fabricant " dataDxfId="57">
      <calculatedColumnFormula>IFERROR(IF(VLOOKUP(Tbl_Donnees[[#This Row],[Référence]]&amp;"",Tbl_Catalogue[],2,FALSE)=0,"-",VLOOKUP(Tbl_Donnees[[#This Row],[Référence]]&amp;"",Tbl_Catalogue[],2,FALSE)),"-")</calculatedColumnFormula>
    </tableColumn>
    <tableColumn id="6" xr3:uid="{00DC9FA4-C962-49B7-ACCD-E9D0B2681B23}" name="Référence" dataDxfId="56"/>
    <tableColumn id="7" xr3:uid="{58F2E717-E801-4A32-BE28-55875273FD60}" name="Statut Cycle de Vie (site fabricant)" dataDxfId="55"/>
    <tableColumn id="8" xr3:uid="{DD5A0112-1E13-4BF1-9339-5D5D353B971B}" name="Statut Cycle de Vie" dataDxfId="54">
      <calculatedColumnFormula>IFERROR(IF(VLOOKUP(Tbl_Donnees[[#This Row],[Référence]]&amp;"",Tbl_Catalogue[],5,FALSE)=0,"-",VLOOKUP(Tbl_Donnees[[#This Row],[Référence]]&amp;"",Tbl_Catalogue[],5,FALSE)),"INCONNU")</calculatedColumnFormula>
    </tableColumn>
    <tableColumn id="9" xr3:uid="{9D306D06-C7A3-4346-BAC8-8801AA871161}" name="Lien Produit" dataDxfId="53" dataCellStyle="Lien hypertexte"/>
    <tableColumn id="10" xr3:uid="{9BA3F45E-AC00-4D30-BCE0-451B5A919C03}" name="Successeur/Remplacement" dataDxfId="52">
      <calculatedColumnFormula>IFERROR(IF(VLOOKUP(Tbl_Donnees[[#This Row],[Référence]]&amp;"",Tbl_Catalogue[],7,FALSE)=0,"-",VLOOKUP(Tbl_Donnees[[#This Row],[Référence]]&amp;"",Tbl_Catalogue[],7,FALSE)),"-")</calculatedColumnFormula>
    </tableColumn>
    <tableColumn id="17" xr3:uid="{37403DB2-7759-43EE-88D7-9588796933EE}" name="Désignation Remp/Succ" dataDxfId="51">
      <calculatedColumnFormula>IFERROR(IF(VLOOKUP(Tbl_Donnees[[#This Row],[Référence]]&amp;"",Tbl_Catalogue[],10,FALSE)=0,"-",VLOOKUP(Tbl_Donnees[[#This Row],[Référence]]&amp;"",Tbl_Catalogue[],10,FALSE)),"-")</calculatedColumnFormula>
    </tableColumn>
    <tableColumn id="11" xr3:uid="{5A18E370-69C5-46D8-8BC4-02916D2D5920}" name="Référence Remp/Succ" dataDxfId="50">
      <calculatedColumnFormula>IFERROR(IF(VLOOKUP(Tbl_Donnees[[#This Row],[Référence]]&amp;"",Tbl_Catalogue[],8,FALSE)=0,"-",VLOOKUP(Tbl_Donnees[[#This Row],[Référence]]&amp;"",Tbl_Catalogue[],8,FALSE)),"-")</calculatedColumnFormula>
    </tableColumn>
    <tableColumn id="12" xr3:uid="{CEFF8992-C7D6-4FED-B09B-DDF26219305A}" name="Fabricant Remp/Succ" dataDxfId="49">
      <calculatedColumnFormula>IFERROR(IF(VLOOKUP(Tbl_Donnees[[#This Row],[Référence]]&amp;"",Tbl_Catalogue[],9,FALSE)=0,"-",VLOOKUP(Tbl_Donnees[[#This Row],[Référence]]&amp;"",Tbl_Catalogue[],9,FALSE)),"-")</calculatedColumnFormula>
    </tableColumn>
    <tableColumn id="13" xr3:uid="{6A5BA7C0-D177-4744-8B86-F8D9F42DBE62}" name="Statut Cycle de Vie Remp/Succ (site fabricant)" dataDxfId="48"/>
    <tableColumn id="14" xr3:uid="{5D8ED617-6AF8-4023-9378-6559128539B7}" name="Statut Cycle de Vie Remp/Succ" dataDxfId="47">
      <calculatedColumnFormula>IFERROR(IF(VLOOKUP(Tbl_Donnees[[#This Row],[Référence]]&amp;"",Tbl_Catalogue[],12,FALSE)=0,"-",VLOOKUP(Tbl_Donnees[[#This Row],[Référence]]&amp;"",Tbl_Catalogue[],12,FALSE)),"-")</calculatedColumnFormula>
    </tableColumn>
    <tableColumn id="15" xr3:uid="{94954C7E-65D9-4C02-BD70-91BEADAB8DCF}" name="Lien Produit Remp/Succ" dataDxfId="46" dataCellStyle="Lien hypertexte">
      <calculatedColumnFormula>IFERROR(IF(VLOOKUP(Tbl_Donnees[[#This Row],[Référence]]&amp;"",Tbl_Catalogue[],13,FALSE)=0,"-",VLOOKUP(Tbl_Donnees[[#This Row],[Référence]]&amp;"",Tbl_Catalogue[],13,FALSE)),"-")</calculatedColumnFormula>
    </tableColumn>
    <tableColumn id="16" xr3:uid="{23E61187-0F05-4FB8-9BE4-BCB8449D9011}" name="Commentaire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DCA2A1-31BA-4050-8D7C-7814A1F5FCFB}" name="Tbl_Users" displayName="Tbl_Users" ref="A1:D14" totalsRowShown="0">
  <autoFilter ref="A1:D14" xr:uid="{CFED33DD-6505-4BB7-B8DD-2B72FC0107F7}"/>
  <tableColumns count="4">
    <tableColumn id="1" xr3:uid="{2C92ED3F-5DE3-4539-BC25-D82F2E5DBD5F}" name="IDENTIFIANT"/>
    <tableColumn id="2" xr3:uid="{7F582775-E1A5-4569-9217-667CB28BD8FF}" name="MOT_DE_PASSE"/>
    <tableColumn id="3" xr3:uid="{A1D38EC8-B9E5-4375-8822-0B5D916CA14E}" name="ROLE"/>
    <tableColumn id="4" xr3:uid="{D7CDAD63-EB1B-4FD7-8FE8-AFBF1BDA1146}" name="PREMIER_LO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8245A4-C194-455B-9F1B-894BC5370C7F}" name="Tbl_Logs" displayName="Tbl_Logs" ref="A1:D190" totalsRowShown="0">
  <autoFilter ref="A1:D190" xr:uid="{E9D7394E-DACC-490A-9D4A-D3C9B4EAE854}"/>
  <tableColumns count="4">
    <tableColumn id="1" xr3:uid="{98708FEB-DE40-4F79-8C68-E4C15706DF13}" name="DATE/HEURE"/>
    <tableColumn id="2" xr3:uid="{2B63D573-C3CE-4CCB-A4CB-0296C5B379DC}" name="UTILISATEUR"/>
    <tableColumn id="3" xr3:uid="{4AA5AC48-6895-4C1B-823F-CDAEC541C1CD}" name="ACTION"/>
    <tableColumn id="4" xr3:uid="{582C99A5-B2DD-4F70-9BB9-F09F30AD7971}" name="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4AE20C-8B27-4055-AA39-5015C14A345D}" name="Tbl_Alertes" displayName="Tbl_Alertes" ref="A1:E2" insertRow="1" totalsRowShown="0">
  <autoFilter ref="A1:E2" xr:uid="{64205E27-60EF-4CFA-83F4-77739B09A255}"/>
  <tableColumns count="5">
    <tableColumn id="1" xr3:uid="{28181E73-9610-43D4-8E46-061576AC7FC8}" name="DATE SCAN"/>
    <tableColumn id="2" xr3:uid="{B6009B82-0D2B-44C9-A3A5-580C6515CEE8}" name="REFERENCE"/>
    <tableColumn id="3" xr3:uid="{227ED0AB-97F9-4587-9079-5905FC7B4783}" name="STATUT ACTUEL"/>
    <tableColumn id="4" xr3:uid="{192F9914-A64C-4A43-AC4C-5C1478E46D0B}" name="STATUT DETECTE"/>
    <tableColumn id="5" xr3:uid="{8FECBE5C-FC10-4825-9F22-CA1B5B14CA56}" name="LIEN VERIF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eportal.siemens.com/en-ww/products-services/detail/6SN1145-1BA02-0CA2?tree=CatalogTree" TargetMode="External"/><Relationship Id="rId13" Type="http://schemas.openxmlformats.org/officeDocument/2006/relationships/hyperlink" Target="https://sieportal.siemens.com/fr-ww/products-services/detail/6FC9320-5DB01?tree=CatalogTree" TargetMode="External"/><Relationship Id="rId3" Type="http://schemas.openxmlformats.org/officeDocument/2006/relationships/hyperlink" Target="https://sieportal.siemens.com/en-ww/products-services/detail/6ES73221BH010AA0?tree=CatalogTree" TargetMode="External"/><Relationship Id="rId7" Type="http://schemas.openxmlformats.org/officeDocument/2006/relationships/hyperlink" Target="https://support.industry.siemens.com/cs/pd/44658?pdti=pi&amp;dl=fr&amp;lc=fr-FR" TargetMode="External"/><Relationship Id="rId12" Type="http://schemas.openxmlformats.org/officeDocument/2006/relationships/hyperlink" Target="https://sieportal.siemens.com/fr-ww/products-services/detail/6FC9320-5DB00?tree=CatalogTree" TargetMode="External"/><Relationship Id="rId2" Type="http://schemas.openxmlformats.org/officeDocument/2006/relationships/hyperlink" Target="https://sieportal.siemens.com/en-ww/products-services/detail/6ES73221BL000AA0?tree=CatalogTree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sieportal.siemens.com/en-ww/products-services/detail/6ES7321-1BL00-0AA0?tree=CatalogTree" TargetMode="External"/><Relationship Id="rId6" Type="http://schemas.openxmlformats.org/officeDocument/2006/relationships/hyperlink" Target="https://sieportal.siemens.com/fr-ww/products-services/detail/3TK2804-0BB4?tree=CatalogTree" TargetMode="External"/><Relationship Id="rId11" Type="http://schemas.openxmlformats.org/officeDocument/2006/relationships/hyperlink" Target="https://support.industry.siemens.com/cs/pd/480058?pdti=pi&amp;dl=fr&amp;lc=fr-FR" TargetMode="External"/><Relationship Id="rId5" Type="http://schemas.openxmlformats.org/officeDocument/2006/relationships/hyperlink" Target="https://sieportal.siemens.com/fr-ww/products-services/detail/6ES7350-1AH02-0AE0?tree=CatalogTre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sieportal.siemens.com/en-ww/products-services/detail/6SN1123-1AA00-0LA1?tree=CatalogTree" TargetMode="External"/><Relationship Id="rId4" Type="http://schemas.openxmlformats.org/officeDocument/2006/relationships/hyperlink" Target="https://sieportal.siemens.com/en-ww/products-services/detail/6SN1118-0AA11-0AA1?tree=CatalogTree" TargetMode="External"/><Relationship Id="rId9" Type="http://schemas.openxmlformats.org/officeDocument/2006/relationships/hyperlink" Target="https://sieportal.siemens.com/en-ww/products-services/detail/6SN1123-1AA00-0LA3?tree=CatalogTree" TargetMode="External"/><Relationship Id="rId14" Type="http://schemas.openxmlformats.org/officeDocument/2006/relationships/hyperlink" Target="https://sieportal.siemens.com/fr-fr/products-services/detail/6AV3617-1JC20-0AX1?tree=CatalogTre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247E-1118-4BFD-9164-7A32C81B2B5B}">
  <sheetPr codeName="Feuil1"/>
  <dimension ref="A1:E68"/>
  <sheetViews>
    <sheetView topLeftCell="A25" workbookViewId="0"/>
  </sheetViews>
  <sheetFormatPr baseColWidth="10" defaultRowHeight="14.4" x14ac:dyDescent="0.3"/>
  <cols>
    <col min="1" max="1" width="33.88671875" customWidth="1"/>
    <col min="4" max="4" width="19.33203125" bestFit="1" customWidth="1"/>
  </cols>
  <sheetData>
    <row r="1" spans="1:5" x14ac:dyDescent="0.3">
      <c r="A1" s="4" t="s">
        <v>360</v>
      </c>
      <c r="B1" t="s">
        <v>3</v>
      </c>
      <c r="C1" t="s">
        <v>60</v>
      </c>
      <c r="D1" s="30" t="s">
        <v>232</v>
      </c>
      <c r="E1" t="s">
        <v>319</v>
      </c>
    </row>
    <row r="2" spans="1:5" x14ac:dyDescent="0.3">
      <c r="A2" s="4" t="s">
        <v>361</v>
      </c>
      <c r="B2" t="s">
        <v>356</v>
      </c>
      <c r="C2" t="s">
        <v>140</v>
      </c>
      <c r="D2" s="2" t="s">
        <v>230</v>
      </c>
      <c r="E2" t="s">
        <v>320</v>
      </c>
    </row>
    <row r="3" spans="1:5" x14ac:dyDescent="0.3">
      <c r="A3" s="4" t="s">
        <v>35</v>
      </c>
      <c r="B3" t="s">
        <v>357</v>
      </c>
      <c r="D3" s="30" t="s">
        <v>231</v>
      </c>
      <c r="E3" t="s">
        <v>230</v>
      </c>
    </row>
    <row r="4" spans="1:5" x14ac:dyDescent="0.3">
      <c r="A4" s="4" t="s">
        <v>253</v>
      </c>
      <c r="B4" t="s">
        <v>358</v>
      </c>
      <c r="D4" s="30" t="s">
        <v>233</v>
      </c>
      <c r="E4" t="s">
        <v>783</v>
      </c>
    </row>
    <row r="5" spans="1:5" x14ac:dyDescent="0.3">
      <c r="A5" s="4" t="s">
        <v>249</v>
      </c>
      <c r="D5" s="32" t="s">
        <v>61</v>
      </c>
    </row>
    <row r="6" spans="1:5" x14ac:dyDescent="0.3">
      <c r="A6" s="4" t="s">
        <v>123</v>
      </c>
    </row>
    <row r="7" spans="1:5" x14ac:dyDescent="0.3">
      <c r="A7" s="4" t="s">
        <v>118</v>
      </c>
    </row>
    <row r="8" spans="1:5" x14ac:dyDescent="0.3">
      <c r="A8" s="4" t="s">
        <v>44</v>
      </c>
    </row>
    <row r="9" spans="1:5" x14ac:dyDescent="0.3">
      <c r="A9" s="4" t="s">
        <v>46</v>
      </c>
    </row>
    <row r="10" spans="1:5" x14ac:dyDescent="0.3">
      <c r="A10" s="4" t="s">
        <v>164</v>
      </c>
    </row>
    <row r="11" spans="1:5" x14ac:dyDescent="0.3">
      <c r="A11" s="4" t="s">
        <v>362</v>
      </c>
    </row>
    <row r="12" spans="1:5" x14ac:dyDescent="0.3">
      <c r="A12" s="4" t="s">
        <v>363</v>
      </c>
    </row>
    <row r="13" spans="1:5" x14ac:dyDescent="0.3">
      <c r="A13" s="4" t="s">
        <v>51</v>
      </c>
    </row>
    <row r="14" spans="1:5" x14ac:dyDescent="0.3">
      <c r="A14" s="4" t="s">
        <v>76</v>
      </c>
    </row>
    <row r="15" spans="1:5" x14ac:dyDescent="0.3">
      <c r="A15" s="4" t="s">
        <v>265</v>
      </c>
    </row>
    <row r="16" spans="1:5" x14ac:dyDescent="0.3">
      <c r="A16" s="4" t="s">
        <v>171</v>
      </c>
    </row>
    <row r="17" spans="1:1" x14ac:dyDescent="0.3">
      <c r="A17" s="4" t="s">
        <v>234</v>
      </c>
    </row>
    <row r="18" spans="1:1" x14ac:dyDescent="0.3">
      <c r="A18" s="4" t="s">
        <v>23</v>
      </c>
    </row>
    <row r="19" spans="1:1" x14ac:dyDescent="0.3">
      <c r="A19" s="4" t="s">
        <v>163</v>
      </c>
    </row>
    <row r="20" spans="1:1" x14ac:dyDescent="0.3">
      <c r="A20" s="4" t="s">
        <v>364</v>
      </c>
    </row>
    <row r="21" spans="1:1" x14ac:dyDescent="0.3">
      <c r="A21" s="4" t="s">
        <v>365</v>
      </c>
    </row>
    <row r="22" spans="1:1" x14ac:dyDescent="0.3">
      <c r="A22" s="4" t="s">
        <v>91</v>
      </c>
    </row>
    <row r="23" spans="1:1" x14ac:dyDescent="0.3">
      <c r="A23" s="4" t="s">
        <v>40</v>
      </c>
    </row>
    <row r="24" spans="1:1" x14ac:dyDescent="0.3">
      <c r="A24" s="4" t="s">
        <v>366</v>
      </c>
    </row>
    <row r="25" spans="1:1" x14ac:dyDescent="0.3">
      <c r="A25" s="4" t="s">
        <v>367</v>
      </c>
    </row>
    <row r="26" spans="1:1" x14ac:dyDescent="0.3">
      <c r="A26" s="4" t="s">
        <v>25</v>
      </c>
    </row>
    <row r="27" spans="1:1" x14ac:dyDescent="0.3">
      <c r="A27" s="4" t="s">
        <v>278</v>
      </c>
    </row>
    <row r="28" spans="1:1" x14ac:dyDescent="0.3">
      <c r="A28" s="4" t="s">
        <v>296</v>
      </c>
    </row>
    <row r="29" spans="1:1" x14ac:dyDescent="0.3">
      <c r="A29" s="4" t="s">
        <v>38</v>
      </c>
    </row>
    <row r="30" spans="1:1" x14ac:dyDescent="0.3">
      <c r="A30" s="4" t="s">
        <v>633</v>
      </c>
    </row>
    <row r="31" spans="1:1" x14ac:dyDescent="0.3">
      <c r="A31" s="4" t="s">
        <v>629</v>
      </c>
    </row>
    <row r="32" spans="1:1" x14ac:dyDescent="0.3">
      <c r="A32" s="4" t="s">
        <v>368</v>
      </c>
    </row>
    <row r="33" spans="1:1" x14ac:dyDescent="0.3">
      <c r="A33" s="4" t="s">
        <v>594</v>
      </c>
    </row>
    <row r="34" spans="1:1" x14ac:dyDescent="0.3">
      <c r="A34" s="4" t="s">
        <v>369</v>
      </c>
    </row>
    <row r="35" spans="1:1" x14ac:dyDescent="0.3">
      <c r="A35" s="4" t="s">
        <v>370</v>
      </c>
    </row>
    <row r="36" spans="1:1" x14ac:dyDescent="0.3">
      <c r="A36" s="4" t="s">
        <v>371</v>
      </c>
    </row>
    <row r="37" spans="1:1" x14ac:dyDescent="0.3">
      <c r="A37" s="4" t="s">
        <v>27</v>
      </c>
    </row>
    <row r="38" spans="1:1" x14ac:dyDescent="0.3">
      <c r="A38" s="4" t="s">
        <v>29</v>
      </c>
    </row>
    <row r="39" spans="1:1" x14ac:dyDescent="0.3">
      <c r="A39" s="4" t="s">
        <v>250</v>
      </c>
    </row>
    <row r="40" spans="1:1" x14ac:dyDescent="0.3">
      <c r="A40" s="4" t="s">
        <v>372</v>
      </c>
    </row>
    <row r="41" spans="1:1" x14ac:dyDescent="0.3">
      <c r="A41" s="4" t="s">
        <v>588</v>
      </c>
    </row>
    <row r="42" spans="1:1" x14ac:dyDescent="0.3">
      <c r="A42" s="4" t="s">
        <v>373</v>
      </c>
    </row>
    <row r="43" spans="1:1" x14ac:dyDescent="0.3">
      <c r="A43" s="4" t="s">
        <v>56</v>
      </c>
    </row>
    <row r="44" spans="1:1" x14ac:dyDescent="0.3">
      <c r="A44" s="4" t="s">
        <v>161</v>
      </c>
    </row>
    <row r="45" spans="1:1" x14ac:dyDescent="0.3">
      <c r="A45" s="4" t="s">
        <v>244</v>
      </c>
    </row>
    <row r="46" spans="1:1" x14ac:dyDescent="0.3">
      <c r="A46" s="4" t="s">
        <v>268</v>
      </c>
    </row>
    <row r="47" spans="1:1" x14ac:dyDescent="0.3">
      <c r="A47" s="4" t="s">
        <v>626</v>
      </c>
    </row>
    <row r="48" spans="1:1" x14ac:dyDescent="0.3">
      <c r="A48" s="4" t="s">
        <v>374</v>
      </c>
    </row>
    <row r="49" spans="1:5" x14ac:dyDescent="0.3">
      <c r="A49" s="4" t="s">
        <v>48</v>
      </c>
    </row>
    <row r="50" spans="1:5" x14ac:dyDescent="0.3">
      <c r="A50" s="4" t="s">
        <v>591</v>
      </c>
    </row>
    <row r="51" spans="1:5" x14ac:dyDescent="0.3">
      <c r="A51" s="4" t="s">
        <v>591</v>
      </c>
    </row>
    <row r="52" spans="1:5" x14ac:dyDescent="0.3">
      <c r="A52" s="4" t="s">
        <v>375</v>
      </c>
    </row>
    <row r="53" spans="1:5" x14ac:dyDescent="0.3">
      <c r="A53" s="4" t="s">
        <v>165</v>
      </c>
    </row>
    <row r="54" spans="1:5" x14ac:dyDescent="0.3">
      <c r="A54" s="4" t="s">
        <v>271</v>
      </c>
    </row>
    <row r="55" spans="1:5" x14ac:dyDescent="0.3">
      <c r="A55" s="4" t="s">
        <v>376</v>
      </c>
      <c r="E55" s="4"/>
    </row>
    <row r="56" spans="1:5" x14ac:dyDescent="0.3">
      <c r="A56" s="4" t="s">
        <v>4</v>
      </c>
    </row>
    <row r="57" spans="1:5" x14ac:dyDescent="0.3">
      <c r="A57" s="4" t="s">
        <v>257</v>
      </c>
    </row>
    <row r="58" spans="1:5" x14ac:dyDescent="0.3">
      <c r="A58" s="4" t="s">
        <v>377</v>
      </c>
    </row>
    <row r="59" spans="1:5" x14ac:dyDescent="0.3">
      <c r="A59" s="4" t="s">
        <v>603</v>
      </c>
    </row>
    <row r="60" spans="1:5" x14ac:dyDescent="0.3">
      <c r="A60" s="4" t="s">
        <v>603</v>
      </c>
    </row>
    <row r="61" spans="1:5" x14ac:dyDescent="0.3">
      <c r="A61" s="4" t="s">
        <v>229</v>
      </c>
    </row>
    <row r="62" spans="1:5" x14ac:dyDescent="0.3">
      <c r="A62" s="4" t="s">
        <v>596</v>
      </c>
    </row>
    <row r="63" spans="1:5" x14ac:dyDescent="0.3">
      <c r="A63" s="4" t="s">
        <v>596</v>
      </c>
    </row>
    <row r="64" spans="1:5" x14ac:dyDescent="0.3">
      <c r="A64" s="4" t="s">
        <v>378</v>
      </c>
    </row>
    <row r="65" spans="1:1" x14ac:dyDescent="0.3">
      <c r="A65" s="4" t="s">
        <v>585</v>
      </c>
    </row>
    <row r="66" spans="1:1" x14ac:dyDescent="0.3">
      <c r="A66" s="4" t="s">
        <v>585</v>
      </c>
    </row>
    <row r="67" spans="1:1" x14ac:dyDescent="0.3">
      <c r="A67" s="4" t="s">
        <v>299</v>
      </c>
    </row>
    <row r="68" spans="1:1" x14ac:dyDescent="0.3">
      <c r="A68" s="4" t="s">
        <v>183</v>
      </c>
    </row>
  </sheetData>
  <conditionalFormatting sqref="D1">
    <cfRule type="containsText" dxfId="44" priority="16" operator="containsText" text="RECHANGE">
      <formula>NOT(ISERROR(SEARCH("RECHANGE",D1)))</formula>
    </cfRule>
    <cfRule type="containsText" dxfId="43" priority="17" operator="containsText" text="ACTIF">
      <formula>NOT(ISERROR(SEARCH("ACTIF",D1)))</formula>
    </cfRule>
    <cfRule type="containsText" dxfId="42" priority="18" operator="containsText" text="PHASE OUT">
      <formula>NOT(ISERROR(SEARCH("PHASE OUT",D1)))</formula>
    </cfRule>
    <cfRule type="containsText" dxfId="41" priority="19" operator="containsText" text="INCONNU">
      <formula>NOT(ISERROR(SEARCH("INCONNU",D1)))</formula>
    </cfRule>
    <cfRule type="containsText" dxfId="40" priority="20" operator="containsText" text="OBSOLETE">
      <formula>NOT(ISERROR(SEARCH("OBSOLETE",D1)))</formula>
    </cfRule>
  </conditionalFormatting>
  <conditionalFormatting sqref="D2">
    <cfRule type="containsText" dxfId="39" priority="11" operator="containsText" text="RECHANGE">
      <formula>NOT(ISERROR(SEARCH("RECHANGE",D2)))</formula>
    </cfRule>
    <cfRule type="containsText" dxfId="38" priority="12" operator="containsText" text="ACTIF">
      <formula>NOT(ISERROR(SEARCH("ACTIF",D2)))</formula>
    </cfRule>
    <cfRule type="containsText" dxfId="37" priority="13" operator="containsText" text="PHASE OUT">
      <formula>NOT(ISERROR(SEARCH("PHASE OUT",D2)))</formula>
    </cfRule>
    <cfRule type="containsText" dxfId="36" priority="14" operator="containsText" text="INCONNU">
      <formula>NOT(ISERROR(SEARCH("INCONNU",D2)))</formula>
    </cfRule>
    <cfRule type="containsText" dxfId="35" priority="15" operator="containsText" text="OBSOLETE">
      <formula>NOT(ISERROR(SEARCH("OBSOLETE",D2)))</formula>
    </cfRule>
  </conditionalFormatting>
  <conditionalFormatting sqref="D3">
    <cfRule type="containsText" dxfId="34" priority="6" operator="containsText" text="RECHANGE">
      <formula>NOT(ISERROR(SEARCH("RECHANGE",D3)))</formula>
    </cfRule>
    <cfRule type="containsText" dxfId="33" priority="7" operator="containsText" text="ACTIF">
      <formula>NOT(ISERROR(SEARCH("ACTIF",D3)))</formula>
    </cfRule>
    <cfRule type="containsText" dxfId="32" priority="8" operator="containsText" text="PHASE OUT">
      <formula>NOT(ISERROR(SEARCH("PHASE OUT",D3)))</formula>
    </cfRule>
    <cfRule type="containsText" dxfId="31" priority="9" operator="containsText" text="INCONNU">
      <formula>NOT(ISERROR(SEARCH("INCONNU",D3)))</formula>
    </cfRule>
    <cfRule type="containsText" dxfId="30" priority="10" operator="containsText" text="OBSOLETE">
      <formula>NOT(ISERROR(SEARCH("OBSOLETE",D3)))</formula>
    </cfRule>
  </conditionalFormatting>
  <conditionalFormatting sqref="D4">
    <cfRule type="containsText" dxfId="29" priority="1" operator="containsText" text="RECHANGE">
      <formula>NOT(ISERROR(SEARCH("RECHANGE",D4)))</formula>
    </cfRule>
    <cfRule type="containsText" dxfId="28" priority="2" operator="containsText" text="ACTIF">
      <formula>NOT(ISERROR(SEARCH("ACTIF",D4)))</formula>
    </cfRule>
    <cfRule type="containsText" dxfId="27" priority="3" operator="containsText" text="PHASE OUT">
      <formula>NOT(ISERROR(SEARCH("PHASE OUT",D4)))</formula>
    </cfRule>
    <cfRule type="containsText" dxfId="26" priority="4" operator="containsText" text="INCONNU">
      <formula>NOT(ISERROR(SEARCH("INCONNU",D4)))</formula>
    </cfRule>
    <cfRule type="containsText" dxfId="25" priority="5" operator="containsText" text="OBSOLETE">
      <formula>NOT(ISERROR(SEARCH("OBSOLETE",D4)))</formula>
    </cfRule>
  </conditionalFormatting>
  <dataValidations count="2">
    <dataValidation type="list" allowBlank="1" showInputMessage="1" showErrorMessage="1" sqref="A51:A58 A61:A64 B55:B62 B65:B68" xr:uid="{8F8146DE-3CD8-47E9-AD95-ACF53BB3B2F1}">
      <formula1>$A$1:$A$50</formula1>
    </dataValidation>
    <dataValidation type="list" allowBlank="1" showInputMessage="1" showErrorMessage="1" sqref="A59:A60 B63:B64" xr:uid="{8424EBB0-E0F4-4BE4-BE54-8B6B97990553}">
      <formula1>$A$1:$A$58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293-2D17-4E52-9DC6-105316D455D8}">
  <sheetPr codeName="Feuil3"/>
  <dimension ref="A1:N277"/>
  <sheetViews>
    <sheetView topLeftCell="A172" zoomScale="85" zoomScaleNormal="85" workbookViewId="0">
      <selection activeCell="M135" sqref="M135"/>
    </sheetView>
  </sheetViews>
  <sheetFormatPr baseColWidth="10" defaultColWidth="11.5546875" defaultRowHeight="14.4" x14ac:dyDescent="0.3"/>
  <cols>
    <col min="1" max="1" width="22.6640625" style="17" bestFit="1" customWidth="1"/>
    <col min="2" max="2" width="29.88671875" style="17" bestFit="1" customWidth="1"/>
    <col min="3" max="3" width="29.109375" style="17" bestFit="1" customWidth="1"/>
    <col min="4" max="4" width="52.33203125" style="17" bestFit="1" customWidth="1"/>
    <col min="5" max="5" width="19.109375" style="9" customWidth="1"/>
    <col min="6" max="6" width="178.88671875" style="9" bestFit="1" customWidth="1"/>
    <col min="7" max="7" width="21.33203125" style="9" customWidth="1"/>
    <col min="8" max="8" width="55.33203125" style="9" bestFit="1" customWidth="1"/>
    <col min="9" max="9" width="30.109375" style="14" bestFit="1" customWidth="1"/>
    <col min="10" max="11" width="28" style="9" customWidth="1"/>
    <col min="12" max="12" width="32.44140625" bestFit="1" customWidth="1"/>
    <col min="13" max="13" width="87.6640625" style="27" bestFit="1" customWidth="1"/>
    <col min="14" max="14" width="11.44140625" customWidth="1"/>
    <col min="15" max="16384" width="11.5546875" style="8"/>
  </cols>
  <sheetData>
    <row r="1" spans="1:13" customFormat="1" x14ac:dyDescent="0.3">
      <c r="A1" s="15" t="s">
        <v>643</v>
      </c>
      <c r="B1" s="15" t="s">
        <v>644</v>
      </c>
      <c r="C1" s="15" t="s">
        <v>655</v>
      </c>
      <c r="D1" s="15" t="s">
        <v>779</v>
      </c>
      <c r="E1" t="s">
        <v>645</v>
      </c>
      <c r="F1" t="s">
        <v>780</v>
      </c>
      <c r="G1" t="s">
        <v>656</v>
      </c>
      <c r="H1" t="s">
        <v>657</v>
      </c>
      <c r="I1" s="10" t="s">
        <v>712</v>
      </c>
      <c r="J1" t="s">
        <v>730</v>
      </c>
      <c r="K1" t="s">
        <v>781</v>
      </c>
      <c r="L1" t="s">
        <v>658</v>
      </c>
      <c r="M1" t="s">
        <v>782</v>
      </c>
    </row>
    <row r="2" spans="1:13" customFormat="1" x14ac:dyDescent="0.3">
      <c r="A2" s="16" t="s">
        <v>478</v>
      </c>
      <c r="B2" s="16" t="s">
        <v>360</v>
      </c>
      <c r="C2" s="16" t="s">
        <v>477</v>
      </c>
      <c r="D2" s="16"/>
      <c r="E2" s="2" t="s">
        <v>230</v>
      </c>
      <c r="F2" s="2"/>
      <c r="G2" s="2" t="s">
        <v>230</v>
      </c>
      <c r="H2" s="2" t="s">
        <v>783</v>
      </c>
      <c r="I2" s="5" t="s">
        <v>783</v>
      </c>
      <c r="J2" s="2" t="s">
        <v>783</v>
      </c>
      <c r="K2" s="2"/>
      <c r="L2" s="2" t="s">
        <v>783</v>
      </c>
      <c r="M2" s="27"/>
    </row>
    <row r="3" spans="1:13" customFormat="1" x14ac:dyDescent="0.3">
      <c r="A3" s="16" t="s">
        <v>476</v>
      </c>
      <c r="B3" s="16" t="s">
        <v>360</v>
      </c>
      <c r="C3" s="16" t="s">
        <v>475</v>
      </c>
      <c r="D3" s="20" t="s">
        <v>232</v>
      </c>
      <c r="E3" s="2" t="s">
        <v>232</v>
      </c>
      <c r="F3" t="s">
        <v>562</v>
      </c>
      <c r="G3" s="2" t="s">
        <v>230</v>
      </c>
      <c r="H3" s="2" t="s">
        <v>783</v>
      </c>
      <c r="I3" s="2" t="s">
        <v>783</v>
      </c>
      <c r="J3" s="2" t="s">
        <v>783</v>
      </c>
      <c r="K3" s="2"/>
      <c r="L3" s="2" t="s">
        <v>783</v>
      </c>
      <c r="M3" s="27"/>
    </row>
    <row r="4" spans="1:13" customFormat="1" x14ac:dyDescent="0.3">
      <c r="A4" s="16" t="s">
        <v>488</v>
      </c>
      <c r="B4" s="16" t="s">
        <v>361</v>
      </c>
      <c r="C4" s="16" t="s">
        <v>70</v>
      </c>
      <c r="D4" s="16"/>
      <c r="E4" s="2" t="s">
        <v>230</v>
      </c>
      <c r="F4" s="2"/>
      <c r="G4" s="2" t="s">
        <v>230</v>
      </c>
      <c r="H4" s="2" t="s">
        <v>783</v>
      </c>
      <c r="I4" s="5" t="s">
        <v>783</v>
      </c>
      <c r="J4" s="2" t="s">
        <v>783</v>
      </c>
      <c r="K4" s="2"/>
      <c r="L4" s="2" t="s">
        <v>783</v>
      </c>
      <c r="M4" s="27"/>
    </row>
    <row r="5" spans="1:13" customFormat="1" x14ac:dyDescent="0.3">
      <c r="A5" s="16" t="s">
        <v>36</v>
      </c>
      <c r="B5" s="16" t="s">
        <v>35</v>
      </c>
      <c r="C5" s="16" t="s">
        <v>115</v>
      </c>
      <c r="D5" s="16"/>
      <c r="E5" s="2" t="s">
        <v>230</v>
      </c>
      <c r="F5" s="2"/>
      <c r="G5" s="2" t="s">
        <v>230</v>
      </c>
      <c r="H5" s="2" t="s">
        <v>783</v>
      </c>
      <c r="I5" s="5" t="s">
        <v>783</v>
      </c>
      <c r="J5" s="2" t="s">
        <v>783</v>
      </c>
      <c r="K5" s="2"/>
      <c r="L5" s="2" t="s">
        <v>783</v>
      </c>
      <c r="M5" s="27"/>
    </row>
    <row r="6" spans="1:13" customFormat="1" x14ac:dyDescent="0.3">
      <c r="A6" s="16" t="s">
        <v>116</v>
      </c>
      <c r="B6" s="16" t="s">
        <v>35</v>
      </c>
      <c r="C6" s="16" t="s">
        <v>115</v>
      </c>
      <c r="D6" s="16"/>
      <c r="E6" s="2" t="s">
        <v>230</v>
      </c>
      <c r="F6" s="2"/>
      <c r="G6" s="2" t="s">
        <v>230</v>
      </c>
      <c r="H6" s="2" t="s">
        <v>783</v>
      </c>
      <c r="I6" s="2" t="s">
        <v>783</v>
      </c>
      <c r="J6" s="2" t="s">
        <v>783</v>
      </c>
      <c r="K6" s="2"/>
      <c r="L6" s="2" t="s">
        <v>783</v>
      </c>
      <c r="M6" s="27"/>
    </row>
    <row r="7" spans="1:13" customFormat="1" x14ac:dyDescent="0.3">
      <c r="A7" s="16" t="s">
        <v>254</v>
      </c>
      <c r="B7" s="16" t="s">
        <v>253</v>
      </c>
      <c r="C7" s="16" t="s">
        <v>252</v>
      </c>
      <c r="D7" s="16"/>
      <c r="E7" s="2" t="s">
        <v>230</v>
      </c>
      <c r="F7" s="2"/>
      <c r="G7" s="2" t="s">
        <v>230</v>
      </c>
      <c r="H7" s="2" t="s">
        <v>783</v>
      </c>
      <c r="I7" s="5" t="s">
        <v>783</v>
      </c>
      <c r="J7" s="2" t="s">
        <v>783</v>
      </c>
      <c r="K7" s="2"/>
      <c r="L7" s="2" t="s">
        <v>783</v>
      </c>
      <c r="M7" s="27"/>
    </row>
    <row r="8" spans="1:13" customFormat="1" x14ac:dyDescent="0.3">
      <c r="A8" s="16" t="s">
        <v>713</v>
      </c>
      <c r="B8" s="16" t="s">
        <v>249</v>
      </c>
      <c r="C8" s="16" t="s">
        <v>248</v>
      </c>
      <c r="D8" s="16"/>
      <c r="E8" s="2" t="s">
        <v>230</v>
      </c>
      <c r="F8" s="2" t="s">
        <v>309</v>
      </c>
      <c r="G8" s="2" t="s">
        <v>230</v>
      </c>
      <c r="H8" s="2" t="s">
        <v>783</v>
      </c>
      <c r="I8" s="2" t="s">
        <v>783</v>
      </c>
      <c r="J8" s="2" t="s">
        <v>783</v>
      </c>
      <c r="K8" s="2"/>
      <c r="L8" s="2" t="s">
        <v>783</v>
      </c>
      <c r="M8" s="27"/>
    </row>
    <row r="9" spans="1:13" customFormat="1" x14ac:dyDescent="0.3">
      <c r="A9" s="16" t="s">
        <v>714</v>
      </c>
      <c r="B9" s="16" t="s">
        <v>249</v>
      </c>
      <c r="C9" s="16" t="s">
        <v>255</v>
      </c>
      <c r="D9" s="16"/>
      <c r="E9" s="2" t="s">
        <v>230</v>
      </c>
      <c r="F9" s="2" t="s">
        <v>311</v>
      </c>
      <c r="G9" s="2" t="s">
        <v>230</v>
      </c>
      <c r="H9" s="2" t="s">
        <v>783</v>
      </c>
      <c r="I9" s="5" t="s">
        <v>783</v>
      </c>
      <c r="J9" s="2" t="s">
        <v>783</v>
      </c>
      <c r="K9" s="2"/>
      <c r="L9" s="2" t="s">
        <v>783</v>
      </c>
      <c r="M9" s="27"/>
    </row>
    <row r="10" spans="1:13" customFormat="1" x14ac:dyDescent="0.3">
      <c r="A10" s="16" t="s">
        <v>124</v>
      </c>
      <c r="B10" s="16" t="s">
        <v>123</v>
      </c>
      <c r="C10" s="16" t="s">
        <v>686</v>
      </c>
      <c r="D10" s="16" t="s">
        <v>28</v>
      </c>
      <c r="E10" s="2" t="s">
        <v>230</v>
      </c>
      <c r="F10" s="2"/>
      <c r="G10" s="2" t="s">
        <v>230</v>
      </c>
      <c r="H10" s="2" t="s">
        <v>783</v>
      </c>
      <c r="I10" s="5" t="s">
        <v>783</v>
      </c>
      <c r="J10" s="2" t="s">
        <v>783</v>
      </c>
      <c r="K10" s="2"/>
      <c r="L10" s="2" t="s">
        <v>783</v>
      </c>
      <c r="M10" s="27"/>
    </row>
    <row r="11" spans="1:13" customFormat="1" x14ac:dyDescent="0.3">
      <c r="A11" s="16" t="s">
        <v>247</v>
      </c>
      <c r="B11" s="16" t="s">
        <v>123</v>
      </c>
      <c r="C11" s="16" t="s">
        <v>246</v>
      </c>
      <c r="D11" s="16" t="s">
        <v>28</v>
      </c>
      <c r="E11" s="2" t="s">
        <v>230</v>
      </c>
      <c r="F11" s="2"/>
      <c r="G11" s="2" t="s">
        <v>230</v>
      </c>
      <c r="H11" s="2" t="s">
        <v>783</v>
      </c>
      <c r="I11" s="2" t="s">
        <v>783</v>
      </c>
      <c r="J11" s="2" t="s">
        <v>783</v>
      </c>
      <c r="K11" s="2"/>
      <c r="L11" s="2" t="s">
        <v>783</v>
      </c>
      <c r="M11" s="27"/>
    </row>
    <row r="12" spans="1:13" customFormat="1" x14ac:dyDescent="0.3">
      <c r="A12" s="16" t="s">
        <v>263</v>
      </c>
      <c r="B12" s="16" t="s">
        <v>123</v>
      </c>
      <c r="C12" s="16" t="s">
        <v>687</v>
      </c>
      <c r="D12" s="16" t="s">
        <v>146</v>
      </c>
      <c r="E12" s="2" t="s">
        <v>230</v>
      </c>
      <c r="F12" s="2" t="s">
        <v>313</v>
      </c>
      <c r="G12" s="2" t="s">
        <v>230</v>
      </c>
      <c r="H12" s="2" t="s">
        <v>783</v>
      </c>
      <c r="I12" s="5" t="s">
        <v>783</v>
      </c>
      <c r="J12" s="2" t="s">
        <v>783</v>
      </c>
      <c r="K12" s="2"/>
      <c r="L12" s="2" t="s">
        <v>783</v>
      </c>
      <c r="M12" s="27"/>
    </row>
    <row r="13" spans="1:13" customFormat="1" x14ac:dyDescent="0.3">
      <c r="A13" s="16" t="s">
        <v>260</v>
      </c>
      <c r="B13" s="16" t="s">
        <v>123</v>
      </c>
      <c r="C13" s="16" t="s">
        <v>259</v>
      </c>
      <c r="D13" s="16" t="s">
        <v>28</v>
      </c>
      <c r="E13" s="2" t="s">
        <v>230</v>
      </c>
      <c r="F13" s="2"/>
      <c r="G13" s="2" t="s">
        <v>230</v>
      </c>
      <c r="H13" s="2" t="s">
        <v>783</v>
      </c>
      <c r="I13" s="2" t="s">
        <v>783</v>
      </c>
      <c r="J13" s="2" t="s">
        <v>783</v>
      </c>
      <c r="K13" s="2"/>
      <c r="L13" s="2" t="s">
        <v>783</v>
      </c>
      <c r="M13" s="27"/>
    </row>
    <row r="14" spans="1:13" customFormat="1" x14ac:dyDescent="0.3">
      <c r="A14" s="16" t="s">
        <v>262</v>
      </c>
      <c r="B14" s="16" t="s">
        <v>123</v>
      </c>
      <c r="C14" s="16" t="s">
        <v>261</v>
      </c>
      <c r="D14" s="16" t="s">
        <v>28</v>
      </c>
      <c r="E14" s="2" t="s">
        <v>230</v>
      </c>
      <c r="F14" s="2"/>
      <c r="G14" s="2" t="s">
        <v>230</v>
      </c>
      <c r="H14" s="2" t="s">
        <v>783</v>
      </c>
      <c r="I14" s="5" t="s">
        <v>783</v>
      </c>
      <c r="J14" s="2" t="s">
        <v>783</v>
      </c>
      <c r="K14" s="2"/>
      <c r="L14" s="2" t="s">
        <v>783</v>
      </c>
      <c r="M14" s="27"/>
    </row>
    <row r="15" spans="1:13" customFormat="1" x14ac:dyDescent="0.3">
      <c r="A15" s="16" t="s">
        <v>120</v>
      </c>
      <c r="B15" s="16" t="s">
        <v>118</v>
      </c>
      <c r="C15" s="16" t="s">
        <v>119</v>
      </c>
      <c r="D15" s="16" t="s">
        <v>146</v>
      </c>
      <c r="E15" s="2" t="s">
        <v>231</v>
      </c>
      <c r="F15" s="2" t="s">
        <v>201</v>
      </c>
      <c r="G15" s="2" t="s">
        <v>230</v>
      </c>
      <c r="H15" s="2" t="s">
        <v>783</v>
      </c>
      <c r="I15" s="5" t="s">
        <v>783</v>
      </c>
      <c r="J15" s="2" t="s">
        <v>783</v>
      </c>
      <c r="K15" s="2"/>
      <c r="L15" s="2" t="s">
        <v>783</v>
      </c>
      <c r="M15" s="27"/>
    </row>
    <row r="16" spans="1:13" customFormat="1" x14ac:dyDescent="0.3">
      <c r="A16" s="16" t="s">
        <v>122</v>
      </c>
      <c r="B16" s="16" t="s">
        <v>118</v>
      </c>
      <c r="C16" s="16" t="s">
        <v>121</v>
      </c>
      <c r="D16" s="16" t="s">
        <v>146</v>
      </c>
      <c r="E16" s="2" t="s">
        <v>231</v>
      </c>
      <c r="F16" s="2" t="s">
        <v>202</v>
      </c>
      <c r="G16" s="2" t="s">
        <v>230</v>
      </c>
      <c r="H16" s="2" t="s">
        <v>783</v>
      </c>
      <c r="I16" s="2" t="s">
        <v>783</v>
      </c>
      <c r="J16" s="2" t="s">
        <v>783</v>
      </c>
      <c r="K16" s="2"/>
      <c r="L16" s="2" t="s">
        <v>783</v>
      </c>
      <c r="M16" s="27"/>
    </row>
    <row r="17" spans="1:13" customFormat="1" x14ac:dyDescent="0.3">
      <c r="A17" s="16" t="s">
        <v>637</v>
      </c>
      <c r="B17" s="16" t="s">
        <v>118</v>
      </c>
      <c r="C17" s="16" t="s">
        <v>636</v>
      </c>
      <c r="D17" s="16" t="s">
        <v>146</v>
      </c>
      <c r="E17" s="2" t="s">
        <v>231</v>
      </c>
      <c r="F17" s="2" t="s">
        <v>642</v>
      </c>
      <c r="G17" s="2" t="s">
        <v>230</v>
      </c>
      <c r="H17" s="2" t="s">
        <v>783</v>
      </c>
      <c r="I17" s="2" t="s">
        <v>783</v>
      </c>
      <c r="J17" s="2" t="s">
        <v>783</v>
      </c>
      <c r="K17" s="2"/>
      <c r="L17" s="2" t="s">
        <v>783</v>
      </c>
      <c r="M17" s="27"/>
    </row>
    <row r="18" spans="1:13" customFormat="1" x14ac:dyDescent="0.3">
      <c r="A18" s="16" t="s">
        <v>715</v>
      </c>
      <c r="B18" s="16" t="s">
        <v>118</v>
      </c>
      <c r="C18" s="16" t="s">
        <v>583</v>
      </c>
      <c r="D18" s="16" t="s">
        <v>619</v>
      </c>
      <c r="E18" s="2" t="s">
        <v>231</v>
      </c>
      <c r="F18" s="2" t="s">
        <v>614</v>
      </c>
      <c r="G18" s="2" t="s">
        <v>230</v>
      </c>
      <c r="H18" s="2" t="s">
        <v>783</v>
      </c>
      <c r="I18" s="5" t="s">
        <v>783</v>
      </c>
      <c r="J18" s="2" t="s">
        <v>783</v>
      </c>
      <c r="K18" s="2"/>
      <c r="L18" s="2" t="s">
        <v>783</v>
      </c>
      <c r="M18" s="27"/>
    </row>
    <row r="19" spans="1:13" customFormat="1" x14ac:dyDescent="0.3">
      <c r="A19" s="16" t="s">
        <v>55</v>
      </c>
      <c r="B19" s="16" t="s">
        <v>118</v>
      </c>
      <c r="C19" s="16" t="s">
        <v>174</v>
      </c>
      <c r="D19" s="16" t="s">
        <v>103</v>
      </c>
      <c r="E19" s="2" t="s">
        <v>232</v>
      </c>
      <c r="F19" s="2" t="s">
        <v>225</v>
      </c>
      <c r="G19" s="2" t="s">
        <v>230</v>
      </c>
      <c r="H19" s="2" t="s">
        <v>783</v>
      </c>
      <c r="I19" s="2" t="s">
        <v>783</v>
      </c>
      <c r="J19" s="2" t="s">
        <v>783</v>
      </c>
      <c r="K19" s="2"/>
      <c r="L19" s="2" t="s">
        <v>783</v>
      </c>
      <c r="M19" s="27"/>
    </row>
    <row r="20" spans="1:13" customFormat="1" x14ac:dyDescent="0.3">
      <c r="A20" s="16" t="s">
        <v>176</v>
      </c>
      <c r="B20" s="16" t="s">
        <v>118</v>
      </c>
      <c r="C20" s="16" t="s">
        <v>175</v>
      </c>
      <c r="D20" s="16" t="s">
        <v>103</v>
      </c>
      <c r="E20" s="2" t="s">
        <v>232</v>
      </c>
      <c r="F20" s="2" t="s">
        <v>226</v>
      </c>
      <c r="G20" s="2" t="s">
        <v>230</v>
      </c>
      <c r="H20" s="2" t="s">
        <v>783</v>
      </c>
      <c r="I20" s="2" t="s">
        <v>783</v>
      </c>
      <c r="J20" s="2" t="s">
        <v>783</v>
      </c>
      <c r="K20" s="2"/>
      <c r="L20" s="2" t="s">
        <v>783</v>
      </c>
      <c r="M20" s="27"/>
    </row>
    <row r="21" spans="1:13" customFormat="1" x14ac:dyDescent="0.3">
      <c r="A21" s="16" t="s">
        <v>37</v>
      </c>
      <c r="B21" s="16" t="s">
        <v>118</v>
      </c>
      <c r="C21" s="16" t="s">
        <v>117</v>
      </c>
      <c r="D21" s="16" t="s">
        <v>103</v>
      </c>
      <c r="E21" s="2" t="s">
        <v>232</v>
      </c>
      <c r="F21" s="2" t="s">
        <v>200</v>
      </c>
      <c r="G21" s="2" t="s">
        <v>230</v>
      </c>
      <c r="H21" s="2" t="s">
        <v>783</v>
      </c>
      <c r="I21" s="2" t="s">
        <v>783</v>
      </c>
      <c r="J21" s="2" t="s">
        <v>783</v>
      </c>
      <c r="K21" s="2"/>
      <c r="L21" s="2" t="s">
        <v>783</v>
      </c>
      <c r="M21" s="27"/>
    </row>
    <row r="22" spans="1:13" customFormat="1" x14ac:dyDescent="0.3">
      <c r="A22" s="16" t="s">
        <v>631</v>
      </c>
      <c r="B22" s="16" t="s">
        <v>118</v>
      </c>
      <c r="C22" s="16" t="s">
        <v>688</v>
      </c>
      <c r="D22" s="16" t="s">
        <v>13</v>
      </c>
      <c r="E22" s="2" t="s">
        <v>232</v>
      </c>
      <c r="F22" s="2" t="s">
        <v>640</v>
      </c>
      <c r="G22" s="2" t="s">
        <v>230</v>
      </c>
      <c r="H22" s="2" t="s">
        <v>783</v>
      </c>
      <c r="I22" s="5" t="s">
        <v>783</v>
      </c>
      <c r="J22" s="2" t="s">
        <v>783</v>
      </c>
      <c r="K22" s="2"/>
      <c r="L22" s="2" t="s">
        <v>783</v>
      </c>
      <c r="M22" s="27"/>
    </row>
    <row r="23" spans="1:13" customFormat="1" x14ac:dyDescent="0.3">
      <c r="A23" s="16" t="s">
        <v>635</v>
      </c>
      <c r="B23" s="16" t="s">
        <v>118</v>
      </c>
      <c r="C23" s="16" t="s">
        <v>634</v>
      </c>
      <c r="D23" s="16" t="s">
        <v>13</v>
      </c>
      <c r="E23" s="2" t="s">
        <v>232</v>
      </c>
      <c r="F23" s="2" t="s">
        <v>641</v>
      </c>
      <c r="G23" s="2" t="s">
        <v>230</v>
      </c>
      <c r="H23" s="2" t="s">
        <v>783</v>
      </c>
      <c r="I23" s="5" t="s">
        <v>783</v>
      </c>
      <c r="J23" s="2" t="s">
        <v>783</v>
      </c>
      <c r="K23" s="2"/>
      <c r="L23" s="2" t="s">
        <v>783</v>
      </c>
      <c r="M23" s="27"/>
    </row>
    <row r="24" spans="1:13" customFormat="1" x14ac:dyDescent="0.3">
      <c r="A24" s="16" t="s">
        <v>716</v>
      </c>
      <c r="B24" s="16" t="s">
        <v>118</v>
      </c>
      <c r="C24" s="16" t="s">
        <v>581</v>
      </c>
      <c r="D24" s="16" t="s">
        <v>13</v>
      </c>
      <c r="E24" s="2" t="s">
        <v>232</v>
      </c>
      <c r="F24" s="2" t="s">
        <v>612</v>
      </c>
      <c r="G24" s="2" t="s">
        <v>230</v>
      </c>
      <c r="H24" s="2" t="s">
        <v>783</v>
      </c>
      <c r="I24" s="2" t="s">
        <v>783</v>
      </c>
      <c r="J24" s="2" t="s">
        <v>783</v>
      </c>
      <c r="K24" s="2"/>
      <c r="L24" s="2" t="s">
        <v>783</v>
      </c>
      <c r="M24" s="27"/>
    </row>
    <row r="25" spans="1:13" customFormat="1" x14ac:dyDescent="0.3">
      <c r="A25" s="16" t="s">
        <v>717</v>
      </c>
      <c r="B25" s="16" t="s">
        <v>118</v>
      </c>
      <c r="C25" s="16" t="s">
        <v>582</v>
      </c>
      <c r="D25" s="16" t="s">
        <v>13</v>
      </c>
      <c r="E25" s="2" t="s">
        <v>232</v>
      </c>
      <c r="F25" s="2" t="s">
        <v>613</v>
      </c>
      <c r="G25" s="2" t="s">
        <v>230</v>
      </c>
      <c r="H25" s="2" t="s">
        <v>783</v>
      </c>
      <c r="I25" s="5" t="s">
        <v>783</v>
      </c>
      <c r="J25" s="2" t="s">
        <v>783</v>
      </c>
      <c r="K25" s="2"/>
      <c r="L25" s="2" t="s">
        <v>783</v>
      </c>
      <c r="M25" s="27"/>
    </row>
    <row r="26" spans="1:13" customFormat="1" x14ac:dyDescent="0.3">
      <c r="A26" s="16" t="s">
        <v>155</v>
      </c>
      <c r="B26" s="16" t="s">
        <v>44</v>
      </c>
      <c r="C26" s="16" t="s">
        <v>689</v>
      </c>
      <c r="D26" s="16" t="s">
        <v>230</v>
      </c>
      <c r="E26" s="2" t="s">
        <v>230</v>
      </c>
      <c r="F26" s="2" t="s">
        <v>214</v>
      </c>
      <c r="G26" s="2" t="s">
        <v>230</v>
      </c>
      <c r="H26" s="2" t="s">
        <v>783</v>
      </c>
      <c r="I26" s="2" t="s">
        <v>783</v>
      </c>
      <c r="J26" s="2" t="s">
        <v>783</v>
      </c>
      <c r="K26" s="2"/>
      <c r="L26" s="2" t="s">
        <v>783</v>
      </c>
      <c r="M26" s="27"/>
    </row>
    <row r="27" spans="1:13" customFormat="1" x14ac:dyDescent="0.3">
      <c r="A27" s="16" t="s">
        <v>47</v>
      </c>
      <c r="B27" s="16" t="s">
        <v>46</v>
      </c>
      <c r="C27" s="16" t="s">
        <v>151</v>
      </c>
      <c r="D27" s="16" t="s">
        <v>28</v>
      </c>
      <c r="E27" s="2" t="s">
        <v>231</v>
      </c>
      <c r="F27" s="2"/>
      <c r="G27" s="2" t="s">
        <v>230</v>
      </c>
      <c r="H27" s="2" t="s">
        <v>783</v>
      </c>
      <c r="I27" s="5" t="s">
        <v>783</v>
      </c>
      <c r="J27" s="2" t="s">
        <v>783</v>
      </c>
      <c r="K27" s="2"/>
      <c r="L27" s="2" t="s">
        <v>783</v>
      </c>
      <c r="M27" s="27"/>
    </row>
    <row r="28" spans="1:13" customFormat="1" x14ac:dyDescent="0.3">
      <c r="A28" s="16" t="s">
        <v>159</v>
      </c>
      <c r="B28" s="16" t="s">
        <v>46</v>
      </c>
      <c r="C28" s="16" t="s">
        <v>151</v>
      </c>
      <c r="D28" s="16" t="s">
        <v>28</v>
      </c>
      <c r="E28" s="2" t="s">
        <v>231</v>
      </c>
      <c r="F28" s="2"/>
      <c r="G28" s="2" t="s">
        <v>230</v>
      </c>
      <c r="H28" s="2" t="s">
        <v>783</v>
      </c>
      <c r="I28" s="2" t="s">
        <v>783</v>
      </c>
      <c r="J28" s="2" t="s">
        <v>783</v>
      </c>
      <c r="K28" s="2"/>
      <c r="L28" s="2" t="s">
        <v>783</v>
      </c>
      <c r="M28" s="27"/>
    </row>
    <row r="29" spans="1:13" customFormat="1" x14ac:dyDescent="0.3">
      <c r="A29" s="16" t="s">
        <v>464</v>
      </c>
      <c r="B29" s="16" t="s">
        <v>362</v>
      </c>
      <c r="C29" s="16" t="s">
        <v>463</v>
      </c>
      <c r="D29" s="16" t="s">
        <v>13</v>
      </c>
      <c r="E29" s="2" t="s">
        <v>232</v>
      </c>
      <c r="F29" s="2" t="s">
        <v>558</v>
      </c>
      <c r="G29" s="2" t="s">
        <v>783</v>
      </c>
      <c r="H29" s="2" t="s">
        <v>783</v>
      </c>
      <c r="I29" s="2" t="s">
        <v>783</v>
      </c>
      <c r="J29" s="2" t="s">
        <v>783</v>
      </c>
      <c r="K29" s="2"/>
      <c r="L29" s="2" t="s">
        <v>783</v>
      </c>
      <c r="M29" s="27"/>
    </row>
    <row r="30" spans="1:13" customFormat="1" x14ac:dyDescent="0.3">
      <c r="A30" s="16" t="s">
        <v>482</v>
      </c>
      <c r="B30" s="16" t="s">
        <v>363</v>
      </c>
      <c r="C30" s="16" t="s">
        <v>481</v>
      </c>
      <c r="D30" s="16"/>
      <c r="E30" s="2" t="s">
        <v>230</v>
      </c>
      <c r="F30" s="2" t="s">
        <v>565</v>
      </c>
      <c r="G30" s="2" t="s">
        <v>230</v>
      </c>
      <c r="H30" s="2" t="s">
        <v>783</v>
      </c>
      <c r="I30" s="5" t="s">
        <v>783</v>
      </c>
      <c r="J30" s="2" t="s">
        <v>783</v>
      </c>
      <c r="K30" s="2"/>
      <c r="L30" s="2" t="s">
        <v>783</v>
      </c>
      <c r="M30" s="27"/>
    </row>
    <row r="31" spans="1:13" customFormat="1" x14ac:dyDescent="0.3">
      <c r="A31" s="16" t="s">
        <v>718</v>
      </c>
      <c r="B31" s="16" t="s">
        <v>363</v>
      </c>
      <c r="C31" s="16" t="s">
        <v>467</v>
      </c>
      <c r="D31" s="16"/>
      <c r="E31" s="2" t="s">
        <v>230</v>
      </c>
      <c r="F31" s="2"/>
      <c r="G31" s="2" t="s">
        <v>230</v>
      </c>
      <c r="H31" s="2" t="s">
        <v>783</v>
      </c>
      <c r="I31" s="2" t="s">
        <v>783</v>
      </c>
      <c r="J31" s="2" t="s">
        <v>783</v>
      </c>
      <c r="K31" s="2"/>
      <c r="L31" s="2" t="s">
        <v>783</v>
      </c>
      <c r="M31" s="27"/>
    </row>
    <row r="32" spans="1:13" customFormat="1" x14ac:dyDescent="0.3">
      <c r="A32" s="16" t="s">
        <v>52</v>
      </c>
      <c r="B32" s="16" t="s">
        <v>51</v>
      </c>
      <c r="C32" s="16" t="s">
        <v>72</v>
      </c>
      <c r="D32" s="16" t="s">
        <v>230</v>
      </c>
      <c r="E32" s="2" t="s">
        <v>230</v>
      </c>
      <c r="F32" s="2"/>
      <c r="G32" s="2" t="s">
        <v>230</v>
      </c>
      <c r="H32" s="2" t="s">
        <v>783</v>
      </c>
      <c r="I32" s="5" t="s">
        <v>783</v>
      </c>
      <c r="J32" s="2" t="s">
        <v>783</v>
      </c>
      <c r="K32" s="2"/>
      <c r="L32" s="2" t="s">
        <v>783</v>
      </c>
      <c r="M32" s="27"/>
    </row>
    <row r="33" spans="1:13" customFormat="1" x14ac:dyDescent="0.3">
      <c r="A33" s="16" t="s">
        <v>624</v>
      </c>
      <c r="B33" s="16" t="s">
        <v>51</v>
      </c>
      <c r="C33" s="16" t="s">
        <v>623</v>
      </c>
      <c r="D33" s="16"/>
      <c r="E33" s="2" t="s">
        <v>230</v>
      </c>
      <c r="F33" s="2"/>
      <c r="G33" s="2" t="s">
        <v>230</v>
      </c>
      <c r="H33" s="2" t="s">
        <v>783</v>
      </c>
      <c r="I33" s="2" t="s">
        <v>783</v>
      </c>
      <c r="J33" s="2" t="s">
        <v>783</v>
      </c>
      <c r="K33" s="2"/>
      <c r="L33" s="2" t="s">
        <v>783</v>
      </c>
      <c r="M33" s="27"/>
    </row>
    <row r="34" spans="1:13" customFormat="1" x14ac:dyDescent="0.3">
      <c r="A34" s="16" t="s">
        <v>14</v>
      </c>
      <c r="B34" s="16" t="s">
        <v>76</v>
      </c>
      <c r="C34" s="16" t="s">
        <v>77</v>
      </c>
      <c r="D34" s="16" t="s">
        <v>230</v>
      </c>
      <c r="E34" s="2" t="s">
        <v>230</v>
      </c>
      <c r="F34" s="2" t="s">
        <v>188</v>
      </c>
      <c r="G34" s="2" t="s">
        <v>319</v>
      </c>
      <c r="H34" s="2" t="s">
        <v>328</v>
      </c>
      <c r="I34" s="2" t="s">
        <v>76</v>
      </c>
      <c r="J34" s="2" t="s">
        <v>783</v>
      </c>
      <c r="K34" s="2"/>
      <c r="L34" s="2" t="s">
        <v>230</v>
      </c>
      <c r="M34" s="27" t="s">
        <v>343</v>
      </c>
    </row>
    <row r="35" spans="1:13" customFormat="1" x14ac:dyDescent="0.3">
      <c r="A35" s="16" t="s">
        <v>12</v>
      </c>
      <c r="B35" s="16" t="s">
        <v>76</v>
      </c>
      <c r="C35" s="16" t="s">
        <v>64</v>
      </c>
      <c r="D35" s="16" t="s">
        <v>103</v>
      </c>
      <c r="E35" s="2" t="s">
        <v>232</v>
      </c>
      <c r="F35" s="2" t="s">
        <v>188</v>
      </c>
      <c r="G35" s="2" t="s">
        <v>783</v>
      </c>
      <c r="H35" s="2" t="s">
        <v>783</v>
      </c>
      <c r="I35" s="5" t="s">
        <v>783</v>
      </c>
      <c r="J35" s="2" t="s">
        <v>783</v>
      </c>
      <c r="K35" s="2"/>
      <c r="L35" s="2" t="s">
        <v>783</v>
      </c>
      <c r="M35" s="27"/>
    </row>
    <row r="36" spans="1:13" customFormat="1" x14ac:dyDescent="0.3">
      <c r="A36" s="16" t="s">
        <v>266</v>
      </c>
      <c r="B36" s="16" t="s">
        <v>265</v>
      </c>
      <c r="C36" s="16" t="s">
        <v>264</v>
      </c>
      <c r="D36" s="16" t="s">
        <v>28</v>
      </c>
      <c r="E36" s="2" t="s">
        <v>230</v>
      </c>
      <c r="F36" s="2"/>
      <c r="G36" s="2" t="s">
        <v>230</v>
      </c>
      <c r="H36" s="2" t="s">
        <v>783</v>
      </c>
      <c r="I36" s="5" t="s">
        <v>783</v>
      </c>
      <c r="J36" s="2" t="s">
        <v>783</v>
      </c>
      <c r="K36" s="2"/>
      <c r="L36" s="2" t="s">
        <v>783</v>
      </c>
      <c r="M36" s="27"/>
    </row>
    <row r="37" spans="1:13" customFormat="1" x14ac:dyDescent="0.3">
      <c r="A37" s="16" t="s">
        <v>172</v>
      </c>
      <c r="B37" s="16" t="s">
        <v>171</v>
      </c>
      <c r="C37" s="16" t="s">
        <v>154</v>
      </c>
      <c r="D37" s="16" t="s">
        <v>230</v>
      </c>
      <c r="E37" s="2" t="s">
        <v>230</v>
      </c>
      <c r="F37" s="2" t="s">
        <v>104</v>
      </c>
      <c r="G37" s="2" t="s">
        <v>230</v>
      </c>
      <c r="H37" s="2" t="s">
        <v>783</v>
      </c>
      <c r="I37" s="2" t="s">
        <v>783</v>
      </c>
      <c r="J37" s="2" t="s">
        <v>783</v>
      </c>
      <c r="K37" s="2"/>
      <c r="L37" s="2" t="s">
        <v>783</v>
      </c>
      <c r="M37" s="27"/>
    </row>
    <row r="38" spans="1:13" customFormat="1" x14ac:dyDescent="0.3">
      <c r="A38" s="16" t="s">
        <v>276</v>
      </c>
      <c r="B38" s="16" t="s">
        <v>171</v>
      </c>
      <c r="C38" s="16" t="s">
        <v>154</v>
      </c>
      <c r="D38" s="16"/>
      <c r="E38" s="2" t="s">
        <v>230</v>
      </c>
      <c r="F38" s="2" t="s">
        <v>317</v>
      </c>
      <c r="G38" s="2" t="s">
        <v>230</v>
      </c>
      <c r="H38" s="2" t="s">
        <v>783</v>
      </c>
      <c r="I38" s="5" t="s">
        <v>783</v>
      </c>
      <c r="J38" s="2" t="s">
        <v>783</v>
      </c>
      <c r="K38" s="2"/>
      <c r="L38" s="2" t="s">
        <v>783</v>
      </c>
      <c r="M38" s="27"/>
    </row>
    <row r="39" spans="1:13" customFormat="1" x14ac:dyDescent="0.3">
      <c r="A39" s="16" t="s">
        <v>24</v>
      </c>
      <c r="B39" s="16" t="s">
        <v>23</v>
      </c>
      <c r="C39" s="16" t="s">
        <v>67</v>
      </c>
      <c r="D39" s="16" t="s">
        <v>230</v>
      </c>
      <c r="E39" s="2" t="s">
        <v>230</v>
      </c>
      <c r="F39" s="2"/>
      <c r="G39" s="2" t="s">
        <v>230</v>
      </c>
      <c r="H39" s="2" t="s">
        <v>783</v>
      </c>
      <c r="I39" s="2" t="s">
        <v>783</v>
      </c>
      <c r="J39" s="2" t="s">
        <v>783</v>
      </c>
      <c r="K39" s="2"/>
      <c r="L39" s="2" t="s">
        <v>783</v>
      </c>
      <c r="M39" s="27"/>
    </row>
    <row r="40" spans="1:13" customFormat="1" x14ac:dyDescent="0.3">
      <c r="A40" s="16" t="s">
        <v>50</v>
      </c>
      <c r="B40" s="16" t="s">
        <v>163</v>
      </c>
      <c r="C40" s="16" t="s">
        <v>690</v>
      </c>
      <c r="D40" s="16" t="s">
        <v>230</v>
      </c>
      <c r="E40" s="2" t="s">
        <v>230</v>
      </c>
      <c r="F40" s="2" t="s">
        <v>219</v>
      </c>
      <c r="G40" s="2" t="s">
        <v>230</v>
      </c>
      <c r="H40" s="2" t="s">
        <v>783</v>
      </c>
      <c r="I40" s="5" t="s">
        <v>783</v>
      </c>
      <c r="J40" s="2" t="s">
        <v>783</v>
      </c>
      <c r="K40" s="2"/>
      <c r="L40" s="2" t="s">
        <v>783</v>
      </c>
      <c r="M40" s="27"/>
    </row>
    <row r="41" spans="1:13" customFormat="1" x14ac:dyDescent="0.3">
      <c r="A41" s="16" t="s">
        <v>719</v>
      </c>
      <c r="B41" s="16" t="s">
        <v>364</v>
      </c>
      <c r="C41" s="16" t="s">
        <v>483</v>
      </c>
      <c r="D41" s="16"/>
      <c r="E41" s="2" t="s">
        <v>230</v>
      </c>
      <c r="F41" s="2"/>
      <c r="G41" s="2" t="s">
        <v>230</v>
      </c>
      <c r="H41" s="2" t="s">
        <v>783</v>
      </c>
      <c r="I41" s="5" t="s">
        <v>783</v>
      </c>
      <c r="J41" s="2" t="s">
        <v>783</v>
      </c>
      <c r="K41" s="2"/>
      <c r="L41" s="2" t="s">
        <v>783</v>
      </c>
      <c r="M41" s="27"/>
    </row>
    <row r="42" spans="1:13" customFormat="1" x14ac:dyDescent="0.3">
      <c r="A42" s="16" t="s">
        <v>579</v>
      </c>
      <c r="B42" s="16" t="s">
        <v>364</v>
      </c>
      <c r="C42" s="16" t="s">
        <v>578</v>
      </c>
      <c r="D42" s="16"/>
      <c r="E42" s="2" t="s">
        <v>230</v>
      </c>
      <c r="F42" s="2" t="s">
        <v>610</v>
      </c>
      <c r="G42" s="2" t="s">
        <v>230</v>
      </c>
      <c r="H42" s="2" t="s">
        <v>783</v>
      </c>
      <c r="I42" s="2" t="s">
        <v>783</v>
      </c>
      <c r="J42" s="2" t="s">
        <v>783</v>
      </c>
      <c r="K42" s="2"/>
      <c r="L42" s="2" t="s">
        <v>783</v>
      </c>
      <c r="M42" s="27"/>
    </row>
    <row r="43" spans="1:13" customFormat="1" x14ac:dyDescent="0.3">
      <c r="A43" s="16" t="s">
        <v>720</v>
      </c>
      <c r="B43" s="16" t="s">
        <v>364</v>
      </c>
      <c r="C43" s="16" t="s">
        <v>580</v>
      </c>
      <c r="D43" s="16"/>
      <c r="E43" s="2" t="s">
        <v>230</v>
      </c>
      <c r="F43" s="2" t="s">
        <v>611</v>
      </c>
      <c r="G43" s="2" t="s">
        <v>230</v>
      </c>
      <c r="H43" s="2" t="s">
        <v>783</v>
      </c>
      <c r="I43" s="5" t="s">
        <v>783</v>
      </c>
      <c r="J43" s="2" t="s">
        <v>783</v>
      </c>
      <c r="K43" s="2"/>
      <c r="L43" s="2" t="s">
        <v>783</v>
      </c>
      <c r="M43" s="27"/>
    </row>
    <row r="44" spans="1:13" customFormat="1" x14ac:dyDescent="0.3">
      <c r="A44" s="16" t="s">
        <v>466</v>
      </c>
      <c r="B44" s="16" t="s">
        <v>365</v>
      </c>
      <c r="C44" s="16" t="s">
        <v>465</v>
      </c>
      <c r="D44" s="16"/>
      <c r="E44" s="2" t="s">
        <v>230</v>
      </c>
      <c r="F44" s="2" t="s">
        <v>559</v>
      </c>
      <c r="G44" s="2" t="s">
        <v>230</v>
      </c>
      <c r="H44" s="2" t="s">
        <v>783</v>
      </c>
      <c r="I44" s="2" t="s">
        <v>783</v>
      </c>
      <c r="J44" s="2" t="s">
        <v>783</v>
      </c>
      <c r="K44" s="2"/>
      <c r="L44" s="2" t="s">
        <v>783</v>
      </c>
      <c r="M44" s="27"/>
    </row>
    <row r="45" spans="1:13" customFormat="1" x14ac:dyDescent="0.3">
      <c r="A45" s="16" t="s">
        <v>92</v>
      </c>
      <c r="B45" s="16" t="s">
        <v>91</v>
      </c>
      <c r="C45" s="16" t="s">
        <v>67</v>
      </c>
      <c r="D45" s="16" t="s">
        <v>28</v>
      </c>
      <c r="E45" s="2" t="s">
        <v>231</v>
      </c>
      <c r="F45" s="2"/>
      <c r="G45" s="2" t="s">
        <v>230</v>
      </c>
      <c r="H45" s="2" t="s">
        <v>783</v>
      </c>
      <c r="I45" s="2" t="s">
        <v>783</v>
      </c>
      <c r="J45" s="2" t="s">
        <v>783</v>
      </c>
      <c r="K45" s="2"/>
      <c r="L45" s="2" t="s">
        <v>783</v>
      </c>
      <c r="M45" s="27"/>
    </row>
    <row r="46" spans="1:13" customFormat="1" x14ac:dyDescent="0.3">
      <c r="A46" s="16" t="s">
        <v>130</v>
      </c>
      <c r="B46" s="16" t="s">
        <v>40</v>
      </c>
      <c r="C46" s="16" t="s">
        <v>129</v>
      </c>
      <c r="D46" s="16" t="s">
        <v>147</v>
      </c>
      <c r="E46" s="2" t="s">
        <v>233</v>
      </c>
      <c r="F46" s="2" t="s">
        <v>206</v>
      </c>
      <c r="G46" s="2" t="s">
        <v>319</v>
      </c>
      <c r="H46" s="2" t="s">
        <v>334</v>
      </c>
      <c r="I46" s="5" t="s">
        <v>40</v>
      </c>
      <c r="J46" s="2" t="s">
        <v>783</v>
      </c>
      <c r="K46" s="2"/>
      <c r="L46" s="2" t="s">
        <v>232</v>
      </c>
      <c r="M46" s="27" t="s">
        <v>348</v>
      </c>
    </row>
    <row r="47" spans="1:13" customFormat="1" x14ac:dyDescent="0.3">
      <c r="A47" s="16" t="s">
        <v>132</v>
      </c>
      <c r="B47" s="16" t="s">
        <v>40</v>
      </c>
      <c r="C47" s="16" t="s">
        <v>131</v>
      </c>
      <c r="D47" s="16" t="s">
        <v>147</v>
      </c>
      <c r="E47" s="2" t="s">
        <v>233</v>
      </c>
      <c r="F47" s="2" t="s">
        <v>207</v>
      </c>
      <c r="G47" s="2" t="s">
        <v>319</v>
      </c>
      <c r="H47" s="2" t="s">
        <v>335</v>
      </c>
      <c r="I47" s="5" t="s">
        <v>40</v>
      </c>
      <c r="J47" s="2" t="s">
        <v>783</v>
      </c>
      <c r="K47" s="2"/>
      <c r="L47" s="2" t="s">
        <v>232</v>
      </c>
      <c r="M47" s="27" t="s">
        <v>349</v>
      </c>
    </row>
    <row r="48" spans="1:13" customFormat="1" x14ac:dyDescent="0.3">
      <c r="A48" s="16" t="s">
        <v>134</v>
      </c>
      <c r="B48" s="16" t="s">
        <v>40</v>
      </c>
      <c r="C48" s="16" t="s">
        <v>133</v>
      </c>
      <c r="D48" s="16" t="s">
        <v>147</v>
      </c>
      <c r="E48" s="2" t="s">
        <v>233</v>
      </c>
      <c r="F48" s="2" t="s">
        <v>208</v>
      </c>
      <c r="G48" s="2" t="s">
        <v>319</v>
      </c>
      <c r="H48" s="2" t="s">
        <v>336</v>
      </c>
      <c r="I48" s="2" t="s">
        <v>40</v>
      </c>
      <c r="J48" s="2" t="s">
        <v>783</v>
      </c>
      <c r="K48" s="2"/>
      <c r="L48" s="2" t="s">
        <v>232</v>
      </c>
      <c r="M48" s="27" t="s">
        <v>350</v>
      </c>
    </row>
    <row r="49" spans="1:13" customFormat="1" x14ac:dyDescent="0.3">
      <c r="A49" s="16" t="s">
        <v>136</v>
      </c>
      <c r="B49" s="16" t="s">
        <v>40</v>
      </c>
      <c r="C49" s="16" t="s">
        <v>135</v>
      </c>
      <c r="D49" s="16" t="s">
        <v>147</v>
      </c>
      <c r="E49" s="2" t="s">
        <v>233</v>
      </c>
      <c r="F49" s="2" t="s">
        <v>209</v>
      </c>
      <c r="G49" s="2" t="s">
        <v>319</v>
      </c>
      <c r="H49" s="2" t="s">
        <v>337</v>
      </c>
      <c r="I49" s="5" t="s">
        <v>40</v>
      </c>
      <c r="J49" s="2" t="s">
        <v>783</v>
      </c>
      <c r="K49" s="2"/>
      <c r="L49" s="2" t="s">
        <v>232</v>
      </c>
      <c r="M49" t="s">
        <v>351</v>
      </c>
    </row>
    <row r="50" spans="1:13" customFormat="1" x14ac:dyDescent="0.3">
      <c r="A50" s="16" t="s">
        <v>137</v>
      </c>
      <c r="B50" s="16" t="s">
        <v>40</v>
      </c>
      <c r="C50" s="16" t="s">
        <v>129</v>
      </c>
      <c r="D50" s="16" t="s">
        <v>147</v>
      </c>
      <c r="E50" s="2" t="s">
        <v>233</v>
      </c>
      <c r="F50" s="2" t="s">
        <v>210</v>
      </c>
      <c r="G50" s="2" t="s">
        <v>319</v>
      </c>
      <c r="H50" s="2" t="s">
        <v>338</v>
      </c>
      <c r="I50" s="2" t="s">
        <v>40</v>
      </c>
      <c r="J50" s="2" t="s">
        <v>783</v>
      </c>
      <c r="K50" s="2"/>
      <c r="L50" s="2" t="s">
        <v>232</v>
      </c>
      <c r="M50" t="s">
        <v>352</v>
      </c>
    </row>
    <row r="51" spans="1:13" customFormat="1" x14ac:dyDescent="0.3">
      <c r="A51" s="16" t="s">
        <v>139</v>
      </c>
      <c r="B51" s="16" t="s">
        <v>40</v>
      </c>
      <c r="C51" s="16" t="s">
        <v>138</v>
      </c>
      <c r="D51" s="16" t="s">
        <v>147</v>
      </c>
      <c r="E51" s="2" t="s">
        <v>233</v>
      </c>
      <c r="F51" s="2" t="s">
        <v>211</v>
      </c>
      <c r="G51" s="2" t="s">
        <v>319</v>
      </c>
      <c r="H51" s="2" t="s">
        <v>339</v>
      </c>
      <c r="I51" s="5" t="s">
        <v>40</v>
      </c>
      <c r="J51" s="2" t="s">
        <v>783</v>
      </c>
      <c r="K51" s="2"/>
      <c r="L51" s="2" t="s">
        <v>232</v>
      </c>
      <c r="M51" t="s">
        <v>353</v>
      </c>
    </row>
    <row r="52" spans="1:13" customFormat="1" x14ac:dyDescent="0.3">
      <c r="A52" s="16" t="s">
        <v>97</v>
      </c>
      <c r="B52" s="16" t="s">
        <v>40</v>
      </c>
      <c r="C52" s="16" t="s">
        <v>71</v>
      </c>
      <c r="D52" s="16" t="s">
        <v>103</v>
      </c>
      <c r="E52" s="2" t="s">
        <v>232</v>
      </c>
      <c r="F52" s="2" t="s">
        <v>198</v>
      </c>
      <c r="G52" s="2" t="s">
        <v>783</v>
      </c>
      <c r="H52" s="2" t="s">
        <v>783</v>
      </c>
      <c r="I52" s="2" t="s">
        <v>783</v>
      </c>
      <c r="J52" s="2" t="s">
        <v>783</v>
      </c>
      <c r="K52" s="2"/>
      <c r="L52" s="2" t="s">
        <v>783</v>
      </c>
      <c r="M52" s="27"/>
    </row>
    <row r="53" spans="1:13" customFormat="1" x14ac:dyDescent="0.3">
      <c r="A53" s="16" t="s">
        <v>128</v>
      </c>
      <c r="B53" s="16" t="s">
        <v>40</v>
      </c>
      <c r="C53" s="16" t="s">
        <v>127</v>
      </c>
      <c r="D53" s="16" t="s">
        <v>103</v>
      </c>
      <c r="E53" s="2" t="s">
        <v>232</v>
      </c>
      <c r="F53" s="2" t="s">
        <v>205</v>
      </c>
      <c r="G53" s="2" t="s">
        <v>783</v>
      </c>
      <c r="H53" s="2" t="s">
        <v>783</v>
      </c>
      <c r="I53" s="5" t="s">
        <v>783</v>
      </c>
      <c r="J53" s="2" t="s">
        <v>783</v>
      </c>
      <c r="K53" s="2"/>
      <c r="L53" s="2" t="s">
        <v>783</v>
      </c>
      <c r="M53" s="27"/>
    </row>
    <row r="54" spans="1:13" customFormat="1" x14ac:dyDescent="0.3">
      <c r="A54" s="16" t="s">
        <v>569</v>
      </c>
      <c r="B54" s="16" t="s">
        <v>40</v>
      </c>
      <c r="C54" s="16" t="s">
        <v>568</v>
      </c>
      <c r="D54" s="16" t="s">
        <v>13</v>
      </c>
      <c r="E54" s="2" t="s">
        <v>232</v>
      </c>
      <c r="F54" s="2" t="s">
        <v>606</v>
      </c>
      <c r="G54" s="2" t="s">
        <v>783</v>
      </c>
      <c r="H54" s="2" t="s">
        <v>783</v>
      </c>
      <c r="I54" s="2" t="s">
        <v>783</v>
      </c>
      <c r="J54" s="2" t="s">
        <v>783</v>
      </c>
      <c r="K54" s="2"/>
      <c r="L54" s="2" t="s">
        <v>783</v>
      </c>
      <c r="M54" s="27"/>
    </row>
    <row r="55" spans="1:13" customFormat="1" x14ac:dyDescent="0.3">
      <c r="A55" s="16" t="s">
        <v>571</v>
      </c>
      <c r="B55" s="16" t="s">
        <v>40</v>
      </c>
      <c r="C55" s="16" t="s">
        <v>570</v>
      </c>
      <c r="D55" s="16" t="s">
        <v>13</v>
      </c>
      <c r="E55" s="2" t="s">
        <v>232</v>
      </c>
      <c r="F55" s="2" t="s">
        <v>607</v>
      </c>
      <c r="G55" s="2" t="s">
        <v>783</v>
      </c>
      <c r="H55" s="2" t="s">
        <v>783</v>
      </c>
      <c r="I55" s="5" t="s">
        <v>783</v>
      </c>
      <c r="J55" s="2" t="s">
        <v>783</v>
      </c>
      <c r="K55" s="2"/>
      <c r="L55" s="2" t="s">
        <v>783</v>
      </c>
      <c r="M55" s="27"/>
    </row>
    <row r="56" spans="1:13" customFormat="1" x14ac:dyDescent="0.3">
      <c r="A56" s="16" t="s">
        <v>573</v>
      </c>
      <c r="B56" s="16" t="s">
        <v>40</v>
      </c>
      <c r="C56" s="16" t="s">
        <v>572</v>
      </c>
      <c r="D56" s="16" t="s">
        <v>13</v>
      </c>
      <c r="E56" s="2" t="s">
        <v>232</v>
      </c>
      <c r="F56" s="2" t="s">
        <v>608</v>
      </c>
      <c r="G56" s="2" t="s">
        <v>783</v>
      </c>
      <c r="H56" s="2" t="s">
        <v>783</v>
      </c>
      <c r="I56" s="2" t="s">
        <v>783</v>
      </c>
      <c r="J56" s="2" t="s">
        <v>783</v>
      </c>
      <c r="K56" s="2"/>
      <c r="L56" s="2" t="s">
        <v>783</v>
      </c>
      <c r="M56" s="27"/>
    </row>
    <row r="57" spans="1:13" customFormat="1" x14ac:dyDescent="0.3">
      <c r="A57" s="16" t="s">
        <v>575</v>
      </c>
      <c r="B57" s="16" t="s">
        <v>40</v>
      </c>
      <c r="C57" s="16" t="s">
        <v>574</v>
      </c>
      <c r="D57" s="16" t="s">
        <v>13</v>
      </c>
      <c r="E57" s="2" t="s">
        <v>232</v>
      </c>
      <c r="F57" s="2" t="s">
        <v>609</v>
      </c>
      <c r="G57" s="2" t="s">
        <v>783</v>
      </c>
      <c r="H57" s="2" t="s">
        <v>783</v>
      </c>
      <c r="I57" s="5" t="s">
        <v>783</v>
      </c>
      <c r="J57" s="2" t="s">
        <v>783</v>
      </c>
      <c r="K57" s="2"/>
      <c r="L57" s="2" t="s">
        <v>783</v>
      </c>
      <c r="M57" s="27"/>
    </row>
    <row r="58" spans="1:13" customFormat="1" x14ac:dyDescent="0.3">
      <c r="A58" s="16" t="s">
        <v>721</v>
      </c>
      <c r="B58" s="16" t="s">
        <v>366</v>
      </c>
      <c r="C58" s="16" t="s">
        <v>460</v>
      </c>
      <c r="D58" s="16" t="s">
        <v>13</v>
      </c>
      <c r="E58" s="2" t="s">
        <v>232</v>
      </c>
      <c r="F58" s="2" t="s">
        <v>556</v>
      </c>
      <c r="G58" s="2" t="s">
        <v>783</v>
      </c>
      <c r="H58" s="2" t="s">
        <v>783</v>
      </c>
      <c r="I58" s="5" t="s">
        <v>783</v>
      </c>
      <c r="J58" s="2" t="s">
        <v>783</v>
      </c>
      <c r="K58" s="2"/>
      <c r="L58" s="2" t="s">
        <v>783</v>
      </c>
      <c r="M58" s="27"/>
    </row>
    <row r="59" spans="1:13" customFormat="1" x14ac:dyDescent="0.3">
      <c r="A59" s="16" t="s">
        <v>722</v>
      </c>
      <c r="B59" s="16" t="s">
        <v>367</v>
      </c>
      <c r="C59" s="16" t="s">
        <v>691</v>
      </c>
      <c r="D59" s="16"/>
      <c r="E59" s="2" t="s">
        <v>230</v>
      </c>
      <c r="F59" s="2" t="s">
        <v>560</v>
      </c>
      <c r="G59" s="2" t="s">
        <v>230</v>
      </c>
      <c r="H59" s="2" t="s">
        <v>783</v>
      </c>
      <c r="I59" s="2" t="s">
        <v>783</v>
      </c>
      <c r="J59" s="2" t="s">
        <v>783</v>
      </c>
      <c r="K59" s="2"/>
      <c r="L59" s="2" t="s">
        <v>783</v>
      </c>
      <c r="M59" s="27"/>
    </row>
    <row r="60" spans="1:13" customFormat="1" x14ac:dyDescent="0.3">
      <c r="A60" s="16" t="s">
        <v>88</v>
      </c>
      <c r="B60" s="16" t="s">
        <v>25</v>
      </c>
      <c r="C60" s="16" t="s">
        <v>68</v>
      </c>
      <c r="D60" s="16" t="s">
        <v>230</v>
      </c>
      <c r="E60" s="2" t="s">
        <v>230</v>
      </c>
      <c r="F60" s="2" t="s">
        <v>194</v>
      </c>
      <c r="G60" s="2" t="s">
        <v>319</v>
      </c>
      <c r="H60" s="2" t="s">
        <v>329</v>
      </c>
      <c r="I60" s="2" t="s">
        <v>25</v>
      </c>
      <c r="J60" s="2" t="s">
        <v>783</v>
      </c>
      <c r="K60" s="2"/>
      <c r="L60" s="2" t="s">
        <v>783</v>
      </c>
      <c r="M60" t="s">
        <v>346</v>
      </c>
    </row>
    <row r="61" spans="1:13" customFormat="1" x14ac:dyDescent="0.3">
      <c r="A61" s="16" t="s">
        <v>279</v>
      </c>
      <c r="B61" s="16" t="s">
        <v>278</v>
      </c>
      <c r="C61" s="16" t="s">
        <v>277</v>
      </c>
      <c r="D61" s="16"/>
      <c r="E61" s="2" t="s">
        <v>230</v>
      </c>
      <c r="F61" s="2" t="s">
        <v>318</v>
      </c>
      <c r="G61" s="2" t="s">
        <v>230</v>
      </c>
      <c r="H61" s="2" t="s">
        <v>783</v>
      </c>
      <c r="I61" s="5" t="s">
        <v>783</v>
      </c>
      <c r="J61" s="2" t="s">
        <v>783</v>
      </c>
      <c r="K61" s="2"/>
      <c r="L61" s="2" t="s">
        <v>783</v>
      </c>
      <c r="M61" s="27"/>
    </row>
    <row r="62" spans="1:13" customFormat="1" x14ac:dyDescent="0.3">
      <c r="A62" s="16" t="s">
        <v>297</v>
      </c>
      <c r="B62" s="16" t="s">
        <v>296</v>
      </c>
      <c r="C62" s="16" t="s">
        <v>295</v>
      </c>
      <c r="D62" s="16" t="s">
        <v>28</v>
      </c>
      <c r="E62" s="2" t="s">
        <v>230</v>
      </c>
      <c r="F62" s="2"/>
      <c r="G62" s="2" t="s">
        <v>230</v>
      </c>
      <c r="H62" s="2" t="s">
        <v>783</v>
      </c>
      <c r="I62" s="2" t="s">
        <v>783</v>
      </c>
      <c r="J62" s="2" t="s">
        <v>783</v>
      </c>
      <c r="K62" s="2"/>
      <c r="L62" s="2" t="s">
        <v>783</v>
      </c>
      <c r="M62" s="27"/>
    </row>
    <row r="63" spans="1:13" customFormat="1" x14ac:dyDescent="0.3">
      <c r="A63" s="16" t="s">
        <v>281</v>
      </c>
      <c r="B63" s="16" t="s">
        <v>38</v>
      </c>
      <c r="C63" s="16" t="s">
        <v>280</v>
      </c>
      <c r="D63" s="16" t="s">
        <v>28</v>
      </c>
      <c r="E63" s="2" t="s">
        <v>230</v>
      </c>
      <c r="F63" s="2"/>
      <c r="G63" s="2" t="s">
        <v>230</v>
      </c>
      <c r="H63" s="2" t="s">
        <v>783</v>
      </c>
      <c r="I63" s="5" t="s">
        <v>783</v>
      </c>
      <c r="J63" s="2" t="s">
        <v>783</v>
      </c>
      <c r="K63" s="2"/>
      <c r="L63" s="2" t="s">
        <v>783</v>
      </c>
      <c r="M63" s="27"/>
    </row>
    <row r="64" spans="1:13" customFormat="1" x14ac:dyDescent="0.3">
      <c r="A64" s="16" t="s">
        <v>577</v>
      </c>
      <c r="B64" s="16" t="s">
        <v>38</v>
      </c>
      <c r="C64" s="16" t="s">
        <v>576</v>
      </c>
      <c r="D64" s="16" t="s">
        <v>28</v>
      </c>
      <c r="E64" s="2" t="s">
        <v>230</v>
      </c>
      <c r="F64" s="2"/>
      <c r="G64" s="2" t="s">
        <v>230</v>
      </c>
      <c r="H64" s="2" t="s">
        <v>783</v>
      </c>
      <c r="I64" s="2" t="s">
        <v>783</v>
      </c>
      <c r="J64" s="2" t="s">
        <v>783</v>
      </c>
      <c r="K64" s="2"/>
      <c r="L64" s="2" t="s">
        <v>783</v>
      </c>
      <c r="M64" s="27"/>
    </row>
    <row r="65" spans="1:13" customFormat="1" x14ac:dyDescent="0.3">
      <c r="A65" s="16" t="s">
        <v>180</v>
      </c>
      <c r="B65" s="16" t="s">
        <v>38</v>
      </c>
      <c r="C65" s="16" t="s">
        <v>179</v>
      </c>
      <c r="D65" s="16" t="s">
        <v>28</v>
      </c>
      <c r="E65" s="2" t="s">
        <v>230</v>
      </c>
      <c r="F65" s="2"/>
      <c r="G65" s="2" t="s">
        <v>230</v>
      </c>
      <c r="H65" s="2" t="s">
        <v>783</v>
      </c>
      <c r="I65" s="2" t="s">
        <v>783</v>
      </c>
      <c r="J65" s="2" t="s">
        <v>783</v>
      </c>
      <c r="K65" s="2"/>
      <c r="L65" s="2" t="s">
        <v>783</v>
      </c>
      <c r="M65" s="27"/>
    </row>
    <row r="66" spans="1:13" customFormat="1" x14ac:dyDescent="0.3">
      <c r="A66" s="16" t="s">
        <v>723</v>
      </c>
      <c r="B66" s="16" t="s">
        <v>38</v>
      </c>
      <c r="C66" s="16" t="s">
        <v>602</v>
      </c>
      <c r="D66" s="16"/>
      <c r="E66" s="2" t="s">
        <v>230</v>
      </c>
      <c r="F66" s="2"/>
      <c r="G66" s="2" t="s">
        <v>230</v>
      </c>
      <c r="H66" s="2" t="s">
        <v>783</v>
      </c>
      <c r="I66" s="5" t="s">
        <v>783</v>
      </c>
      <c r="J66" s="2" t="s">
        <v>783</v>
      </c>
      <c r="K66" s="2"/>
      <c r="L66" s="2" t="s">
        <v>783</v>
      </c>
      <c r="M66" s="27"/>
    </row>
    <row r="67" spans="1:13" customFormat="1" x14ac:dyDescent="0.3">
      <c r="A67" s="16" t="s">
        <v>181</v>
      </c>
      <c r="B67" s="16" t="s">
        <v>38</v>
      </c>
      <c r="C67" s="16" t="s">
        <v>179</v>
      </c>
      <c r="D67" s="16" t="s">
        <v>32</v>
      </c>
      <c r="E67" s="2" t="s">
        <v>232</v>
      </c>
      <c r="F67" s="2" t="s">
        <v>227</v>
      </c>
      <c r="G67" s="2" t="s">
        <v>783</v>
      </c>
      <c r="H67" s="2" t="s">
        <v>783</v>
      </c>
      <c r="I67" s="2" t="s">
        <v>783</v>
      </c>
      <c r="J67" s="2" t="s">
        <v>783</v>
      </c>
      <c r="K67" s="2"/>
      <c r="L67" s="2" t="s">
        <v>783</v>
      </c>
      <c r="M67" s="27"/>
    </row>
    <row r="68" spans="1:13" customFormat="1" x14ac:dyDescent="0.3">
      <c r="A68" s="16" t="s">
        <v>185</v>
      </c>
      <c r="B68" s="16" t="s">
        <v>38</v>
      </c>
      <c r="C68" s="16" t="s">
        <v>179</v>
      </c>
      <c r="D68" s="16" t="s">
        <v>32</v>
      </c>
      <c r="E68" s="2" t="s">
        <v>232</v>
      </c>
      <c r="F68" s="2" t="s">
        <v>227</v>
      </c>
      <c r="G68" s="2" t="s">
        <v>783</v>
      </c>
      <c r="H68" s="2" t="s">
        <v>783</v>
      </c>
      <c r="I68" s="2" t="s">
        <v>783</v>
      </c>
      <c r="J68" s="2" t="s">
        <v>783</v>
      </c>
      <c r="K68" s="2"/>
      <c r="L68" s="2" t="s">
        <v>783</v>
      </c>
      <c r="M68" s="27"/>
    </row>
    <row r="69" spans="1:13" customFormat="1" x14ac:dyDescent="0.3">
      <c r="A69" s="16" t="s">
        <v>39</v>
      </c>
      <c r="B69" s="16" t="s">
        <v>38</v>
      </c>
      <c r="C69" s="16" t="s">
        <v>125</v>
      </c>
      <c r="D69" s="16" t="s">
        <v>103</v>
      </c>
      <c r="E69" s="2" t="s">
        <v>232</v>
      </c>
      <c r="F69" s="2" t="s">
        <v>203</v>
      </c>
      <c r="G69" s="2" t="s">
        <v>783</v>
      </c>
      <c r="H69" s="2" t="s">
        <v>783</v>
      </c>
      <c r="I69" s="2" t="s">
        <v>783</v>
      </c>
      <c r="J69" s="2" t="s">
        <v>783</v>
      </c>
      <c r="K69" s="2"/>
      <c r="L69" s="2" t="s">
        <v>783</v>
      </c>
      <c r="M69" s="27"/>
    </row>
    <row r="70" spans="1:13" customFormat="1" x14ac:dyDescent="0.3">
      <c r="A70" s="16" t="s">
        <v>126</v>
      </c>
      <c r="B70" s="16" t="s">
        <v>38</v>
      </c>
      <c r="C70" s="16" t="s">
        <v>125</v>
      </c>
      <c r="D70" s="16" t="s">
        <v>103</v>
      </c>
      <c r="E70" s="2" t="s">
        <v>232</v>
      </c>
      <c r="F70" s="2" t="s">
        <v>204</v>
      </c>
      <c r="G70" s="2" t="s">
        <v>783</v>
      </c>
      <c r="H70" s="2" t="s">
        <v>783</v>
      </c>
      <c r="I70" s="5" t="s">
        <v>783</v>
      </c>
      <c r="J70" s="2" t="s">
        <v>783</v>
      </c>
      <c r="K70" s="2"/>
      <c r="L70" s="2" t="s">
        <v>783</v>
      </c>
      <c r="M70" s="27"/>
    </row>
    <row r="71" spans="1:13" customFormat="1" x14ac:dyDescent="0.3">
      <c r="A71" s="16" t="s">
        <v>630</v>
      </c>
      <c r="B71" s="16" t="s">
        <v>629</v>
      </c>
      <c r="C71" s="16" t="s">
        <v>628</v>
      </c>
      <c r="D71" s="16"/>
      <c r="E71" s="2" t="s">
        <v>230</v>
      </c>
      <c r="F71" s="2"/>
      <c r="G71" s="2" t="s">
        <v>230</v>
      </c>
      <c r="H71" s="2" t="s">
        <v>783</v>
      </c>
      <c r="I71" s="5" t="s">
        <v>783</v>
      </c>
      <c r="J71" s="2" t="s">
        <v>783</v>
      </c>
      <c r="K71" s="2"/>
      <c r="L71" s="2" t="s">
        <v>783</v>
      </c>
      <c r="M71" s="27"/>
    </row>
    <row r="72" spans="1:13" customFormat="1" x14ac:dyDescent="0.3">
      <c r="A72" s="16" t="s">
        <v>455</v>
      </c>
      <c r="B72" s="16" t="s">
        <v>368</v>
      </c>
      <c r="C72" s="16" t="s">
        <v>454</v>
      </c>
      <c r="D72" s="16" t="s">
        <v>28</v>
      </c>
      <c r="E72" s="2" t="s">
        <v>231</v>
      </c>
      <c r="F72" s="2"/>
      <c r="G72" s="2" t="s">
        <v>230</v>
      </c>
      <c r="H72" s="2" t="s">
        <v>783</v>
      </c>
      <c r="I72" s="5" t="s">
        <v>783</v>
      </c>
      <c r="J72" s="2" t="s">
        <v>783</v>
      </c>
      <c r="K72" s="2"/>
      <c r="L72" s="2" t="s">
        <v>783</v>
      </c>
      <c r="M72" s="27"/>
    </row>
    <row r="73" spans="1:13" customFormat="1" x14ac:dyDescent="0.3">
      <c r="A73" s="16" t="s">
        <v>474</v>
      </c>
      <c r="B73" s="16" t="s">
        <v>368</v>
      </c>
      <c r="C73" s="16" t="s">
        <v>692</v>
      </c>
      <c r="D73" s="16" t="s">
        <v>13</v>
      </c>
      <c r="E73" s="2" t="s">
        <v>232</v>
      </c>
      <c r="F73" s="2" t="s">
        <v>561</v>
      </c>
      <c r="G73" s="2" t="s">
        <v>783</v>
      </c>
      <c r="H73" s="2" t="s">
        <v>783</v>
      </c>
      <c r="I73" s="2" t="s">
        <v>783</v>
      </c>
      <c r="J73" s="2" t="s">
        <v>783</v>
      </c>
      <c r="K73" s="2"/>
      <c r="L73" s="2" t="s">
        <v>783</v>
      </c>
      <c r="M73" s="27"/>
    </row>
    <row r="74" spans="1:13" customFormat="1" x14ac:dyDescent="0.3">
      <c r="A74" s="16" t="s">
        <v>601</v>
      </c>
      <c r="B74" s="16" t="s">
        <v>594</v>
      </c>
      <c r="C74" s="16" t="s">
        <v>600</v>
      </c>
      <c r="D74" s="16"/>
      <c r="E74" s="2" t="s">
        <v>230</v>
      </c>
      <c r="F74" s="2"/>
      <c r="G74" s="2" t="s">
        <v>230</v>
      </c>
      <c r="H74" s="2" t="s">
        <v>783</v>
      </c>
      <c r="I74" s="2" t="s">
        <v>783</v>
      </c>
      <c r="J74" s="2" t="s">
        <v>783</v>
      </c>
      <c r="K74" s="2"/>
      <c r="L74" s="2" t="s">
        <v>783</v>
      </c>
      <c r="M74" s="27"/>
    </row>
    <row r="75" spans="1:13" customFormat="1" x14ac:dyDescent="0.3">
      <c r="A75" s="16" t="s">
        <v>724</v>
      </c>
      <c r="B75" s="16" t="s">
        <v>594</v>
      </c>
      <c r="C75" s="16" t="s">
        <v>593</v>
      </c>
      <c r="D75" s="16" t="s">
        <v>13</v>
      </c>
      <c r="E75" s="2" t="s">
        <v>232</v>
      </c>
      <c r="F75" s="2" t="s">
        <v>617</v>
      </c>
      <c r="G75" s="2" t="s">
        <v>783</v>
      </c>
      <c r="H75" s="2" t="s">
        <v>783</v>
      </c>
      <c r="I75" s="2" t="s">
        <v>783</v>
      </c>
      <c r="J75" s="2" t="s">
        <v>783</v>
      </c>
      <c r="K75" s="2"/>
      <c r="L75" s="2" t="s">
        <v>783</v>
      </c>
      <c r="M75" s="27"/>
    </row>
    <row r="76" spans="1:13" customFormat="1" x14ac:dyDescent="0.3">
      <c r="A76" s="16" t="s">
        <v>599</v>
      </c>
      <c r="B76" s="16" t="s">
        <v>594</v>
      </c>
      <c r="C76" s="16" t="s">
        <v>598</v>
      </c>
      <c r="D76" s="16" t="s">
        <v>13</v>
      </c>
      <c r="E76" s="2" t="s">
        <v>232</v>
      </c>
      <c r="F76" s="2" t="s">
        <v>618</v>
      </c>
      <c r="G76" s="2" t="s">
        <v>783</v>
      </c>
      <c r="H76" s="2" t="s">
        <v>783</v>
      </c>
      <c r="I76" s="5" t="s">
        <v>783</v>
      </c>
      <c r="J76" s="2" t="s">
        <v>783</v>
      </c>
      <c r="K76" s="2"/>
      <c r="L76" s="2" t="s">
        <v>783</v>
      </c>
      <c r="M76" s="27"/>
    </row>
    <row r="77" spans="1:13" customFormat="1" x14ac:dyDescent="0.3">
      <c r="A77" s="16" t="s">
        <v>725</v>
      </c>
      <c r="B77" s="16" t="s">
        <v>369</v>
      </c>
      <c r="C77" s="16" t="s">
        <v>461</v>
      </c>
      <c r="D77" s="16" t="s">
        <v>28</v>
      </c>
      <c r="E77" s="2" t="s">
        <v>231</v>
      </c>
      <c r="F77" s="2"/>
      <c r="G77" s="2" t="s">
        <v>783</v>
      </c>
      <c r="H77" s="2" t="s">
        <v>783</v>
      </c>
      <c r="I77" s="5" t="s">
        <v>783</v>
      </c>
      <c r="J77" s="2" t="s">
        <v>783</v>
      </c>
      <c r="K77" s="2"/>
      <c r="L77" s="2" t="s">
        <v>783</v>
      </c>
      <c r="M77" s="27"/>
    </row>
    <row r="78" spans="1:13" customFormat="1" x14ac:dyDescent="0.3">
      <c r="A78" s="16" t="s">
        <v>473</v>
      </c>
      <c r="B78" s="16" t="s">
        <v>370</v>
      </c>
      <c r="C78" s="16" t="s">
        <v>472</v>
      </c>
      <c r="D78" s="16"/>
      <c r="E78" s="2" t="s">
        <v>230</v>
      </c>
      <c r="F78" s="2"/>
      <c r="G78" s="2" t="s">
        <v>230</v>
      </c>
      <c r="H78" s="2" t="s">
        <v>783</v>
      </c>
      <c r="I78" s="2" t="s">
        <v>783</v>
      </c>
      <c r="J78" s="2" t="s">
        <v>783</v>
      </c>
      <c r="K78" s="2"/>
      <c r="L78" s="2" t="s">
        <v>783</v>
      </c>
      <c r="M78" s="27"/>
    </row>
    <row r="79" spans="1:13" customFormat="1" x14ac:dyDescent="0.3">
      <c r="A79" s="16" t="s">
        <v>485</v>
      </c>
      <c r="B79" s="16" t="s">
        <v>370</v>
      </c>
      <c r="C79" s="16" t="s">
        <v>484</v>
      </c>
      <c r="D79" s="16"/>
      <c r="E79" s="2" t="s">
        <v>230</v>
      </c>
      <c r="F79" s="2" t="s">
        <v>566</v>
      </c>
      <c r="G79" s="2" t="s">
        <v>230</v>
      </c>
      <c r="H79" s="2" t="s">
        <v>783</v>
      </c>
      <c r="I79" s="5" t="s">
        <v>783</v>
      </c>
      <c r="J79" s="2" t="s">
        <v>783</v>
      </c>
      <c r="K79" s="2"/>
      <c r="L79" s="2" t="s">
        <v>783</v>
      </c>
      <c r="M79" s="27"/>
    </row>
    <row r="80" spans="1:13" customFormat="1" x14ac:dyDescent="0.3">
      <c r="A80" s="16" t="s">
        <v>457</v>
      </c>
      <c r="B80" s="16" t="s">
        <v>371</v>
      </c>
      <c r="C80" s="16" t="s">
        <v>456</v>
      </c>
      <c r="D80" s="16"/>
      <c r="E80" s="2" t="s">
        <v>230</v>
      </c>
      <c r="F80" s="2"/>
      <c r="G80" s="2" t="s">
        <v>230</v>
      </c>
      <c r="H80" s="2" t="s">
        <v>783</v>
      </c>
      <c r="I80" s="2" t="s">
        <v>783</v>
      </c>
      <c r="J80" s="2" t="s">
        <v>783</v>
      </c>
      <c r="K80" s="2"/>
      <c r="L80" s="2" t="s">
        <v>783</v>
      </c>
      <c r="M80" s="27"/>
    </row>
    <row r="81" spans="1:13" customFormat="1" x14ac:dyDescent="0.3">
      <c r="A81" s="16" t="s">
        <v>726</v>
      </c>
      <c r="B81" s="16" t="s">
        <v>27</v>
      </c>
      <c r="C81" s="16" t="s">
        <v>69</v>
      </c>
      <c r="D81" s="16" t="s">
        <v>28</v>
      </c>
      <c r="E81" s="2" t="s">
        <v>230</v>
      </c>
      <c r="F81" s="2"/>
      <c r="G81" s="2" t="s">
        <v>230</v>
      </c>
      <c r="H81" s="2" t="s">
        <v>783</v>
      </c>
      <c r="I81" s="5" t="s">
        <v>783</v>
      </c>
      <c r="J81" s="2" t="s">
        <v>783</v>
      </c>
      <c r="K81" s="2"/>
      <c r="L81" s="2" t="s">
        <v>783</v>
      </c>
      <c r="M81" s="27"/>
    </row>
    <row r="82" spans="1:13" customFormat="1" x14ac:dyDescent="0.3">
      <c r="A82" s="16" t="s">
        <v>33</v>
      </c>
      <c r="B82" s="16" t="s">
        <v>27</v>
      </c>
      <c r="C82" s="16" t="s">
        <v>72</v>
      </c>
      <c r="D82" s="16" t="s">
        <v>230</v>
      </c>
      <c r="E82" s="2" t="s">
        <v>230</v>
      </c>
      <c r="F82" s="2" t="s">
        <v>199</v>
      </c>
      <c r="G82" s="2" t="s">
        <v>230</v>
      </c>
      <c r="H82" s="2" t="s">
        <v>783</v>
      </c>
      <c r="I82" s="2" t="s">
        <v>783</v>
      </c>
      <c r="J82" s="2" t="s">
        <v>783</v>
      </c>
      <c r="K82" s="2"/>
      <c r="L82" s="2" t="s">
        <v>783</v>
      </c>
      <c r="M82" s="27"/>
    </row>
    <row r="83" spans="1:13" customFormat="1" x14ac:dyDescent="0.3">
      <c r="A83" s="16" t="s">
        <v>90</v>
      </c>
      <c r="B83" s="16" t="s">
        <v>29</v>
      </c>
      <c r="C83" s="16" t="s">
        <v>70</v>
      </c>
      <c r="D83" s="16" t="s">
        <v>230</v>
      </c>
      <c r="E83" s="2" t="s">
        <v>230</v>
      </c>
      <c r="F83" s="2" t="s">
        <v>195</v>
      </c>
      <c r="G83" s="2" t="s">
        <v>230</v>
      </c>
      <c r="H83" s="2" t="s">
        <v>783</v>
      </c>
      <c r="I83" s="5" t="s">
        <v>783</v>
      </c>
      <c r="J83" s="2" t="s">
        <v>783</v>
      </c>
      <c r="K83" s="2"/>
      <c r="L83" s="2" t="s">
        <v>783</v>
      </c>
      <c r="M83" s="27"/>
    </row>
    <row r="84" spans="1:13" customFormat="1" x14ac:dyDescent="0.3">
      <c r="A84" s="16" t="s">
        <v>462</v>
      </c>
      <c r="B84" s="16" t="s">
        <v>29</v>
      </c>
      <c r="C84" s="16" t="s">
        <v>70</v>
      </c>
      <c r="D84" s="16"/>
      <c r="E84" s="2" t="s">
        <v>230</v>
      </c>
      <c r="F84" s="2" t="s">
        <v>557</v>
      </c>
      <c r="G84" s="2" t="s">
        <v>230</v>
      </c>
      <c r="H84" s="2" t="s">
        <v>783</v>
      </c>
      <c r="I84" s="5" t="s">
        <v>783</v>
      </c>
      <c r="J84" s="2" t="s">
        <v>783</v>
      </c>
      <c r="K84" s="2"/>
      <c r="L84" s="2" t="s">
        <v>783</v>
      </c>
      <c r="M84" s="27"/>
    </row>
    <row r="85" spans="1:13" customFormat="1" x14ac:dyDescent="0.3">
      <c r="A85" s="16" t="s">
        <v>251</v>
      </c>
      <c r="B85" s="16" t="s">
        <v>250</v>
      </c>
      <c r="C85" s="16" t="s">
        <v>693</v>
      </c>
      <c r="D85" s="16" t="s">
        <v>287</v>
      </c>
      <c r="E85" s="2" t="s">
        <v>232</v>
      </c>
      <c r="F85" s="2" t="s">
        <v>310</v>
      </c>
      <c r="G85" s="2" t="s">
        <v>783</v>
      </c>
      <c r="H85" s="2" t="s">
        <v>783</v>
      </c>
      <c r="I85" s="5" t="s">
        <v>783</v>
      </c>
      <c r="J85" s="2" t="s">
        <v>783</v>
      </c>
      <c r="K85" s="2"/>
      <c r="L85" s="2" t="s">
        <v>783</v>
      </c>
      <c r="M85" s="27"/>
    </row>
    <row r="86" spans="1:13" customFormat="1" x14ac:dyDescent="0.3">
      <c r="A86" s="16" t="s">
        <v>479</v>
      </c>
      <c r="B86" s="16" t="s">
        <v>372</v>
      </c>
      <c r="C86" s="16" t="s">
        <v>694</v>
      </c>
      <c r="D86" s="16" t="s">
        <v>13</v>
      </c>
      <c r="E86" s="2" t="s">
        <v>232</v>
      </c>
      <c r="F86" s="2" t="s">
        <v>563</v>
      </c>
      <c r="G86" s="2" t="s">
        <v>783</v>
      </c>
      <c r="H86" s="2" t="s">
        <v>783</v>
      </c>
      <c r="I86" s="2" t="s">
        <v>783</v>
      </c>
      <c r="J86" s="2" t="s">
        <v>783</v>
      </c>
      <c r="K86" s="2"/>
      <c r="L86" s="2" t="s">
        <v>783</v>
      </c>
      <c r="M86" s="27"/>
    </row>
    <row r="87" spans="1:13" customFormat="1" x14ac:dyDescent="0.3">
      <c r="A87" s="16" t="s">
        <v>727</v>
      </c>
      <c r="B87" s="16" t="s">
        <v>372</v>
      </c>
      <c r="C87" s="16" t="s">
        <v>458</v>
      </c>
      <c r="D87" s="16" t="s">
        <v>13</v>
      </c>
      <c r="E87" s="2" t="s">
        <v>232</v>
      </c>
      <c r="F87" s="2" t="s">
        <v>554</v>
      </c>
      <c r="G87" s="2" t="s">
        <v>783</v>
      </c>
      <c r="H87" s="2" t="s">
        <v>783</v>
      </c>
      <c r="I87" s="2" t="s">
        <v>783</v>
      </c>
      <c r="J87" s="2" t="s">
        <v>783</v>
      </c>
      <c r="K87" s="2"/>
      <c r="L87" s="2" t="s">
        <v>783</v>
      </c>
      <c r="M87" s="27"/>
    </row>
    <row r="88" spans="1:13" customFormat="1" x14ac:dyDescent="0.3">
      <c r="A88" s="16" t="s">
        <v>728</v>
      </c>
      <c r="B88" s="16" t="s">
        <v>372</v>
      </c>
      <c r="C88" s="16" t="s">
        <v>459</v>
      </c>
      <c r="D88" s="16" t="s">
        <v>13</v>
      </c>
      <c r="E88" s="2" t="s">
        <v>232</v>
      </c>
      <c r="F88" s="2" t="s">
        <v>555</v>
      </c>
      <c r="G88" s="2" t="s">
        <v>783</v>
      </c>
      <c r="H88" s="2" t="s">
        <v>783</v>
      </c>
      <c r="I88" s="5" t="s">
        <v>783</v>
      </c>
      <c r="J88" s="2" t="s">
        <v>783</v>
      </c>
      <c r="K88" s="2"/>
      <c r="L88" s="2" t="s">
        <v>783</v>
      </c>
      <c r="M88" s="27"/>
    </row>
    <row r="89" spans="1:13" customFormat="1" x14ac:dyDescent="0.3">
      <c r="A89" s="16" t="s">
        <v>729</v>
      </c>
      <c r="B89" s="16" t="s">
        <v>372</v>
      </c>
      <c r="C89" s="16" t="s">
        <v>480</v>
      </c>
      <c r="D89" s="16" t="s">
        <v>13</v>
      </c>
      <c r="E89" s="2" t="s">
        <v>232</v>
      </c>
      <c r="F89" s="2" t="s">
        <v>564</v>
      </c>
      <c r="G89" s="2" t="s">
        <v>783</v>
      </c>
      <c r="H89" s="2" t="s">
        <v>783</v>
      </c>
      <c r="I89" s="5" t="s">
        <v>783</v>
      </c>
      <c r="J89" s="2" t="s">
        <v>783</v>
      </c>
      <c r="K89" s="2"/>
      <c r="L89" s="2" t="s">
        <v>783</v>
      </c>
      <c r="M89" s="27"/>
    </row>
    <row r="90" spans="1:13" customFormat="1" x14ac:dyDescent="0.3">
      <c r="A90" s="16" t="s">
        <v>589</v>
      </c>
      <c r="B90" s="16" t="s">
        <v>588</v>
      </c>
      <c r="C90" s="16" t="s">
        <v>587</v>
      </c>
      <c r="D90" s="16"/>
      <c r="E90" s="2" t="s">
        <v>230</v>
      </c>
      <c r="F90" s="2" t="s">
        <v>616</v>
      </c>
      <c r="G90" s="2" t="s">
        <v>230</v>
      </c>
      <c r="H90" s="2" t="s">
        <v>783</v>
      </c>
      <c r="I90" s="2" t="s">
        <v>783</v>
      </c>
      <c r="J90" s="2" t="s">
        <v>783</v>
      </c>
      <c r="K90" s="2"/>
      <c r="L90" s="2" t="s">
        <v>783</v>
      </c>
      <c r="M90" s="27"/>
    </row>
    <row r="91" spans="1:13" customFormat="1" x14ac:dyDescent="0.3">
      <c r="A91" s="16" t="s">
        <v>469</v>
      </c>
      <c r="B91" s="16" t="s">
        <v>373</v>
      </c>
      <c r="C91" s="16" t="s">
        <v>695</v>
      </c>
      <c r="D91" s="16" t="s">
        <v>28</v>
      </c>
      <c r="E91" s="2" t="s">
        <v>231</v>
      </c>
      <c r="F91" s="2"/>
      <c r="G91" s="2" t="s">
        <v>230</v>
      </c>
      <c r="H91" s="2" t="s">
        <v>783</v>
      </c>
      <c r="I91" s="2" t="s">
        <v>783</v>
      </c>
      <c r="J91" s="2" t="s">
        <v>783</v>
      </c>
      <c r="K91" s="2"/>
      <c r="L91" s="2" t="s">
        <v>783</v>
      </c>
      <c r="M91" s="27"/>
    </row>
    <row r="92" spans="1:13" customFormat="1" x14ac:dyDescent="0.3">
      <c r="A92" s="16" t="s">
        <v>57</v>
      </c>
      <c r="B92" s="16" t="s">
        <v>56</v>
      </c>
      <c r="C92" s="16" t="s">
        <v>177</v>
      </c>
      <c r="D92" s="16" t="s">
        <v>28</v>
      </c>
      <c r="E92" s="2" t="s">
        <v>230</v>
      </c>
      <c r="F92" s="2"/>
      <c r="G92" s="2" t="s">
        <v>230</v>
      </c>
      <c r="H92" s="2" t="s">
        <v>783</v>
      </c>
      <c r="I92" s="5" t="s">
        <v>783</v>
      </c>
      <c r="J92" s="2" t="s">
        <v>783</v>
      </c>
      <c r="K92" s="2"/>
      <c r="L92" s="2" t="s">
        <v>783</v>
      </c>
      <c r="M92" s="27"/>
    </row>
    <row r="93" spans="1:13" customFormat="1" x14ac:dyDescent="0.3">
      <c r="A93" s="16" t="s">
        <v>178</v>
      </c>
      <c r="B93" s="16" t="s">
        <v>56</v>
      </c>
      <c r="C93" s="16" t="s">
        <v>177</v>
      </c>
      <c r="D93" s="16" t="s">
        <v>28</v>
      </c>
      <c r="E93" s="2" t="s">
        <v>230</v>
      </c>
      <c r="F93" s="2"/>
      <c r="G93" s="2" t="s">
        <v>230</v>
      </c>
      <c r="H93" s="2" t="s">
        <v>783</v>
      </c>
      <c r="I93" s="2" t="s">
        <v>783</v>
      </c>
      <c r="J93" s="2" t="s">
        <v>783</v>
      </c>
      <c r="K93" s="2"/>
      <c r="L93" s="2" t="s">
        <v>783</v>
      </c>
      <c r="M93" s="27"/>
    </row>
    <row r="94" spans="1:13" customFormat="1" x14ac:dyDescent="0.3">
      <c r="A94" s="16" t="s">
        <v>290</v>
      </c>
      <c r="B94" s="16" t="s">
        <v>56</v>
      </c>
      <c r="C94" s="16" t="s">
        <v>289</v>
      </c>
      <c r="D94" s="16" t="s">
        <v>28</v>
      </c>
      <c r="E94" s="2" t="s">
        <v>230</v>
      </c>
      <c r="F94" s="2"/>
      <c r="G94" s="2" t="s">
        <v>230</v>
      </c>
      <c r="H94" s="2" t="s">
        <v>783</v>
      </c>
      <c r="I94" s="2" t="s">
        <v>783</v>
      </c>
      <c r="J94" s="2" t="s">
        <v>783</v>
      </c>
      <c r="K94" s="2"/>
      <c r="L94" s="2" t="s">
        <v>783</v>
      </c>
      <c r="M94" s="27"/>
    </row>
    <row r="95" spans="1:13" customFormat="1" x14ac:dyDescent="0.3">
      <c r="A95" s="16" t="s">
        <v>292</v>
      </c>
      <c r="B95" s="16" t="s">
        <v>56</v>
      </c>
      <c r="C95" s="16" t="s">
        <v>291</v>
      </c>
      <c r="D95" s="16" t="s">
        <v>28</v>
      </c>
      <c r="E95" s="2" t="s">
        <v>230</v>
      </c>
      <c r="F95" s="2"/>
      <c r="G95" s="2" t="s">
        <v>230</v>
      </c>
      <c r="H95" s="2" t="s">
        <v>783</v>
      </c>
      <c r="I95" s="5" t="s">
        <v>783</v>
      </c>
      <c r="J95" s="2" t="s">
        <v>783</v>
      </c>
      <c r="K95" s="2"/>
      <c r="L95" s="2" t="s">
        <v>783</v>
      </c>
      <c r="M95" s="27"/>
    </row>
    <row r="96" spans="1:13" customFormat="1" x14ac:dyDescent="0.3">
      <c r="A96" s="16" t="s">
        <v>294</v>
      </c>
      <c r="B96" s="16" t="s">
        <v>56</v>
      </c>
      <c r="C96" s="16" t="s">
        <v>293</v>
      </c>
      <c r="D96" s="16" t="s">
        <v>28</v>
      </c>
      <c r="E96" s="2" t="s">
        <v>230</v>
      </c>
      <c r="F96" s="2"/>
      <c r="G96" s="2" t="s">
        <v>230</v>
      </c>
      <c r="H96" s="2" t="s">
        <v>783</v>
      </c>
      <c r="I96" s="2" t="s">
        <v>783</v>
      </c>
      <c r="J96" s="2" t="s">
        <v>783</v>
      </c>
      <c r="K96" s="2"/>
      <c r="L96" s="2" t="s">
        <v>783</v>
      </c>
      <c r="M96" s="27"/>
    </row>
    <row r="97" spans="1:13" customFormat="1" x14ac:dyDescent="0.3">
      <c r="A97" s="16" t="s">
        <v>302</v>
      </c>
      <c r="B97" s="16" t="s">
        <v>56</v>
      </c>
      <c r="C97" s="16" t="s">
        <v>301</v>
      </c>
      <c r="D97" s="16"/>
      <c r="E97" s="2" t="s">
        <v>230</v>
      </c>
      <c r="F97" s="2"/>
      <c r="G97" s="2" t="s">
        <v>230</v>
      </c>
      <c r="H97" s="2" t="s">
        <v>783</v>
      </c>
      <c r="I97" s="5" t="s">
        <v>783</v>
      </c>
      <c r="J97" s="2" t="s">
        <v>783</v>
      </c>
      <c r="K97" s="2"/>
      <c r="L97" s="2" t="s">
        <v>783</v>
      </c>
      <c r="M97" s="27"/>
    </row>
    <row r="98" spans="1:13" customFormat="1" x14ac:dyDescent="0.3">
      <c r="A98" s="16" t="s">
        <v>303</v>
      </c>
      <c r="B98" s="16" t="s">
        <v>56</v>
      </c>
      <c r="C98" s="16" t="s">
        <v>696</v>
      </c>
      <c r="D98" s="16" t="s">
        <v>28</v>
      </c>
      <c r="E98" s="2" t="s">
        <v>230</v>
      </c>
      <c r="F98" s="2"/>
      <c r="G98" s="2" t="s">
        <v>230</v>
      </c>
      <c r="H98" s="2" t="s">
        <v>783</v>
      </c>
      <c r="I98" s="2" t="s">
        <v>783</v>
      </c>
      <c r="J98" s="2" t="s">
        <v>783</v>
      </c>
      <c r="K98" s="2"/>
      <c r="L98" s="2" t="s">
        <v>783</v>
      </c>
      <c r="M98" s="27"/>
    </row>
    <row r="99" spans="1:13" customFormat="1" x14ac:dyDescent="0.3">
      <c r="A99" s="16" t="s">
        <v>605</v>
      </c>
      <c r="B99" s="16" t="s">
        <v>56</v>
      </c>
      <c r="C99" s="16" t="s">
        <v>604</v>
      </c>
      <c r="D99" s="16"/>
      <c r="E99" s="2" t="s">
        <v>230</v>
      </c>
      <c r="F99" s="2"/>
      <c r="G99" s="2" t="s">
        <v>230</v>
      </c>
      <c r="H99" s="2" t="s">
        <v>783</v>
      </c>
      <c r="I99" s="5" t="s">
        <v>783</v>
      </c>
      <c r="J99" s="2" t="s">
        <v>783</v>
      </c>
      <c r="K99" s="2"/>
      <c r="L99" s="2" t="s">
        <v>783</v>
      </c>
      <c r="M99" s="27"/>
    </row>
    <row r="100" spans="1:13" customFormat="1" x14ac:dyDescent="0.3">
      <c r="A100" s="16" t="s">
        <v>162</v>
      </c>
      <c r="B100" s="16" t="s">
        <v>161</v>
      </c>
      <c r="C100" s="16" t="s">
        <v>160</v>
      </c>
      <c r="D100" s="16" t="s">
        <v>230</v>
      </c>
      <c r="E100" s="2" t="s">
        <v>230</v>
      </c>
      <c r="F100" s="2"/>
      <c r="G100" s="2" t="s">
        <v>230</v>
      </c>
      <c r="H100" s="2" t="s">
        <v>783</v>
      </c>
      <c r="I100" s="2" t="s">
        <v>783</v>
      </c>
      <c r="J100" s="2" t="s">
        <v>783</v>
      </c>
      <c r="K100" s="2"/>
      <c r="L100" s="2" t="s">
        <v>783</v>
      </c>
      <c r="M100" s="27"/>
    </row>
    <row r="101" spans="1:13" customFormat="1" x14ac:dyDescent="0.3">
      <c r="A101" s="16" t="s">
        <v>245</v>
      </c>
      <c r="B101" s="16" t="s">
        <v>244</v>
      </c>
      <c r="C101" s="16" t="s">
        <v>243</v>
      </c>
      <c r="D101" s="16" t="s">
        <v>286</v>
      </c>
      <c r="E101" s="2" t="s">
        <v>231</v>
      </c>
      <c r="F101" s="2" t="s">
        <v>308</v>
      </c>
      <c r="G101" s="2" t="s">
        <v>319</v>
      </c>
      <c r="H101" s="2" t="s">
        <v>663</v>
      </c>
      <c r="I101" s="2" t="s">
        <v>244</v>
      </c>
      <c r="J101" s="2" t="s">
        <v>783</v>
      </c>
      <c r="K101" s="2"/>
      <c r="L101" s="2" t="s">
        <v>232</v>
      </c>
      <c r="M101" s="27"/>
    </row>
    <row r="102" spans="1:13" customFormat="1" x14ac:dyDescent="0.3">
      <c r="A102" s="16" t="s">
        <v>269</v>
      </c>
      <c r="B102" s="16" t="s">
        <v>268</v>
      </c>
      <c r="C102" s="16" t="s">
        <v>267</v>
      </c>
      <c r="D102" s="16" t="s">
        <v>28</v>
      </c>
      <c r="E102" s="2" t="s">
        <v>230</v>
      </c>
      <c r="F102" s="2"/>
      <c r="G102" s="2" t="s">
        <v>230</v>
      </c>
      <c r="H102" s="2" t="s">
        <v>783</v>
      </c>
      <c r="I102" s="5" t="s">
        <v>783</v>
      </c>
      <c r="J102" s="2" t="s">
        <v>783</v>
      </c>
      <c r="K102" s="2"/>
      <c r="L102" s="2" t="s">
        <v>783</v>
      </c>
      <c r="M102" s="27"/>
    </row>
    <row r="103" spans="1:13" customFormat="1" x14ac:dyDescent="0.3">
      <c r="A103" s="16" t="s">
        <v>627</v>
      </c>
      <c r="B103" s="16" t="s">
        <v>626</v>
      </c>
      <c r="C103" s="16" t="s">
        <v>625</v>
      </c>
      <c r="D103" s="16" t="s">
        <v>619</v>
      </c>
      <c r="E103" s="2" t="s">
        <v>231</v>
      </c>
      <c r="F103" s="2" t="s">
        <v>639</v>
      </c>
      <c r="G103" s="2" t="s">
        <v>230</v>
      </c>
      <c r="H103" s="2" t="s">
        <v>783</v>
      </c>
      <c r="I103" s="5" t="s">
        <v>783</v>
      </c>
      <c r="J103" s="2" t="s">
        <v>783</v>
      </c>
      <c r="K103" s="2"/>
      <c r="L103" s="2" t="s">
        <v>783</v>
      </c>
      <c r="M103" s="27"/>
    </row>
    <row r="104" spans="1:13" customFormat="1" x14ac:dyDescent="0.3">
      <c r="A104" s="16" t="s">
        <v>453</v>
      </c>
      <c r="B104" s="16" t="s">
        <v>374</v>
      </c>
      <c r="C104" s="16" t="s">
        <v>452</v>
      </c>
      <c r="D104" s="16" t="s">
        <v>28</v>
      </c>
      <c r="E104" s="2" t="s">
        <v>231</v>
      </c>
      <c r="F104" s="2"/>
      <c r="G104" s="2" t="s">
        <v>319</v>
      </c>
      <c r="H104" s="2" t="s">
        <v>677</v>
      </c>
      <c r="I104" s="5" t="s">
        <v>374</v>
      </c>
      <c r="J104" s="2" t="s">
        <v>783</v>
      </c>
      <c r="K104" s="2" t="s">
        <v>28</v>
      </c>
      <c r="L104" s="2" t="s">
        <v>231</v>
      </c>
      <c r="M104" s="27"/>
    </row>
    <row r="105" spans="1:13" customFormat="1" x14ac:dyDescent="0.3">
      <c r="A105" s="16" t="s">
        <v>49</v>
      </c>
      <c r="B105" s="16" t="s">
        <v>48</v>
      </c>
      <c r="C105" s="16" t="s">
        <v>70</v>
      </c>
      <c r="D105" s="16" t="s">
        <v>28</v>
      </c>
      <c r="E105" s="2" t="s">
        <v>231</v>
      </c>
      <c r="F105" s="2"/>
      <c r="G105" s="2" t="s">
        <v>230</v>
      </c>
      <c r="H105" s="2" t="s">
        <v>783</v>
      </c>
      <c r="I105" s="5" t="s">
        <v>783</v>
      </c>
      <c r="J105" s="2" t="s">
        <v>783</v>
      </c>
      <c r="K105" s="2"/>
      <c r="L105" s="2" t="s">
        <v>783</v>
      </c>
      <c r="M105" s="27"/>
    </row>
    <row r="106" spans="1:13" customFormat="1" x14ac:dyDescent="0.3">
      <c r="A106" s="16" t="s">
        <v>592</v>
      </c>
      <c r="B106" s="16" t="s">
        <v>591</v>
      </c>
      <c r="C106" s="16" t="s">
        <v>590</v>
      </c>
      <c r="D106" s="16" t="s">
        <v>28</v>
      </c>
      <c r="E106" s="2" t="s">
        <v>230</v>
      </c>
      <c r="F106" s="2"/>
      <c r="G106" s="2" t="s">
        <v>230</v>
      </c>
      <c r="H106" s="2" t="s">
        <v>783</v>
      </c>
      <c r="I106" s="2" t="s">
        <v>783</v>
      </c>
      <c r="J106" s="2" t="s">
        <v>783</v>
      </c>
      <c r="K106" s="2"/>
      <c r="L106" s="2" t="s">
        <v>783</v>
      </c>
      <c r="M106" s="27"/>
    </row>
    <row r="107" spans="1:13" customFormat="1" x14ac:dyDescent="0.3">
      <c r="A107" s="16" t="s">
        <v>471</v>
      </c>
      <c r="B107" s="16" t="s">
        <v>375</v>
      </c>
      <c r="C107" s="16" t="s">
        <v>70</v>
      </c>
      <c r="D107" s="16" t="s">
        <v>512</v>
      </c>
      <c r="E107" s="2" t="s">
        <v>230</v>
      </c>
      <c r="F107" s="2"/>
      <c r="G107" s="2" t="s">
        <v>230</v>
      </c>
      <c r="H107" s="2" t="s">
        <v>783</v>
      </c>
      <c r="I107" s="2" t="s">
        <v>783</v>
      </c>
      <c r="J107" s="2" t="s">
        <v>783</v>
      </c>
      <c r="K107" s="2"/>
      <c r="L107" s="2" t="s">
        <v>783</v>
      </c>
      <c r="M107" s="27"/>
    </row>
    <row r="108" spans="1:13" customFormat="1" x14ac:dyDescent="0.3">
      <c r="A108" s="16" t="s">
        <v>166</v>
      </c>
      <c r="B108" s="16" t="s">
        <v>165</v>
      </c>
      <c r="C108" s="16" t="s">
        <v>152</v>
      </c>
      <c r="D108" s="16" t="s">
        <v>230</v>
      </c>
      <c r="E108" s="2" t="s">
        <v>230</v>
      </c>
      <c r="F108" s="2" t="s">
        <v>220</v>
      </c>
      <c r="G108" s="2" t="s">
        <v>230</v>
      </c>
      <c r="H108" s="2" t="s">
        <v>783</v>
      </c>
      <c r="I108" s="2" t="s">
        <v>783</v>
      </c>
      <c r="J108" s="2" t="s">
        <v>783</v>
      </c>
      <c r="K108" s="2"/>
      <c r="L108" s="2" t="s">
        <v>783</v>
      </c>
      <c r="M108" s="27"/>
    </row>
    <row r="109" spans="1:13" customFormat="1" x14ac:dyDescent="0.3">
      <c r="A109" s="16" t="s">
        <v>272</v>
      </c>
      <c r="B109" s="16" t="s">
        <v>271</v>
      </c>
      <c r="C109" s="16" t="s">
        <v>275</v>
      </c>
      <c r="D109" s="16" t="s">
        <v>13</v>
      </c>
      <c r="E109" s="2" t="s">
        <v>232</v>
      </c>
      <c r="F109" s="2" t="s">
        <v>315</v>
      </c>
      <c r="G109" s="2" t="s">
        <v>783</v>
      </c>
      <c r="H109" s="2" t="s">
        <v>783</v>
      </c>
      <c r="I109" s="5" t="s">
        <v>783</v>
      </c>
      <c r="J109" s="2" t="s">
        <v>783</v>
      </c>
      <c r="K109" s="2"/>
      <c r="L109" s="2" t="s">
        <v>783</v>
      </c>
      <c r="M109" s="27"/>
    </row>
    <row r="110" spans="1:13" customFormat="1" x14ac:dyDescent="0.3">
      <c r="A110" s="16" t="s">
        <v>468</v>
      </c>
      <c r="B110" s="16" t="s">
        <v>376</v>
      </c>
      <c r="C110" s="16" t="s">
        <v>467</v>
      </c>
      <c r="D110" s="16" t="s">
        <v>28</v>
      </c>
      <c r="E110" s="2" t="s">
        <v>231</v>
      </c>
      <c r="F110" s="2"/>
      <c r="G110" s="2" t="s">
        <v>230</v>
      </c>
      <c r="H110" s="2" t="s">
        <v>783</v>
      </c>
      <c r="I110" s="5" t="s">
        <v>783</v>
      </c>
      <c r="J110" s="2" t="s">
        <v>783</v>
      </c>
      <c r="K110" s="2"/>
      <c r="L110" s="2" t="s">
        <v>783</v>
      </c>
      <c r="M110" s="27"/>
    </row>
    <row r="111" spans="1:13" customFormat="1" x14ac:dyDescent="0.3">
      <c r="A111" s="16" t="s">
        <v>43</v>
      </c>
      <c r="B111" s="16" t="s">
        <v>4</v>
      </c>
      <c r="C111" s="16" t="s">
        <v>697</v>
      </c>
      <c r="D111" s="16" t="s">
        <v>102</v>
      </c>
      <c r="E111" s="2" t="s">
        <v>61</v>
      </c>
      <c r="F111" s="2" t="s">
        <v>213</v>
      </c>
      <c r="G111" s="2" t="s">
        <v>230</v>
      </c>
      <c r="H111" s="2" t="s">
        <v>783</v>
      </c>
      <c r="I111" s="5" t="s">
        <v>783</v>
      </c>
      <c r="J111" s="2" t="s">
        <v>783</v>
      </c>
      <c r="K111" s="2"/>
      <c r="L111" s="2" t="s">
        <v>783</v>
      </c>
      <c r="M111" s="27"/>
    </row>
    <row r="112" spans="1:13" customFormat="1" x14ac:dyDescent="0.3">
      <c r="A112" s="16" t="s">
        <v>6</v>
      </c>
      <c r="B112" s="16" t="s">
        <v>4</v>
      </c>
      <c r="C112" s="16" t="s">
        <v>74</v>
      </c>
      <c r="D112" s="16" t="s">
        <v>817</v>
      </c>
      <c r="E112" s="2" t="s">
        <v>61</v>
      </c>
      <c r="F112" s="2" t="s">
        <v>818</v>
      </c>
      <c r="G112" s="2" t="s">
        <v>230</v>
      </c>
      <c r="H112" s="2" t="s">
        <v>783</v>
      </c>
      <c r="I112" s="2" t="s">
        <v>783</v>
      </c>
      <c r="J112" s="2" t="s">
        <v>783</v>
      </c>
      <c r="K112" s="2"/>
      <c r="L112" s="2" t="s">
        <v>783</v>
      </c>
      <c r="M112" s="27"/>
    </row>
    <row r="113" spans="1:13" customFormat="1" x14ac:dyDescent="0.3">
      <c r="A113" s="16" t="s">
        <v>8</v>
      </c>
      <c r="B113" s="16" t="s">
        <v>4</v>
      </c>
      <c r="C113" s="16" t="s">
        <v>698</v>
      </c>
      <c r="D113" s="16" t="s">
        <v>102</v>
      </c>
      <c r="E113" s="2" t="s">
        <v>61</v>
      </c>
      <c r="F113" s="31" t="s">
        <v>820</v>
      </c>
      <c r="G113" s="2" t="s">
        <v>230</v>
      </c>
      <c r="H113" s="2" t="s">
        <v>783</v>
      </c>
      <c r="I113" s="5" t="s">
        <v>783</v>
      </c>
      <c r="J113" s="2" t="s">
        <v>783</v>
      </c>
      <c r="K113" s="2"/>
      <c r="L113" s="2" t="s">
        <v>783</v>
      </c>
      <c r="M113" s="27"/>
    </row>
    <row r="114" spans="1:13" customFormat="1" x14ac:dyDescent="0.3">
      <c r="A114" s="16" t="s">
        <v>9</v>
      </c>
      <c r="B114" s="16" t="s">
        <v>4</v>
      </c>
      <c r="C114" s="16" t="s">
        <v>62</v>
      </c>
      <c r="D114" s="16" t="s">
        <v>102</v>
      </c>
      <c r="E114" s="2" t="s">
        <v>61</v>
      </c>
      <c r="F114" s="31" t="s">
        <v>821</v>
      </c>
      <c r="G114" s="2" t="s">
        <v>230</v>
      </c>
      <c r="H114" s="2" t="s">
        <v>783</v>
      </c>
      <c r="I114" s="2" t="s">
        <v>783</v>
      </c>
      <c r="J114" s="2" t="s">
        <v>783</v>
      </c>
      <c r="K114" s="2"/>
      <c r="L114" s="2" t="s">
        <v>783</v>
      </c>
      <c r="M114" s="27"/>
    </row>
    <row r="115" spans="1:13" customFormat="1" x14ac:dyDescent="0.3">
      <c r="A115" s="16" t="s">
        <v>10</v>
      </c>
      <c r="B115" s="16" t="s">
        <v>4</v>
      </c>
      <c r="C115" s="16" t="s">
        <v>63</v>
      </c>
      <c r="D115" s="16" t="s">
        <v>102</v>
      </c>
      <c r="E115" s="2" t="s">
        <v>61</v>
      </c>
      <c r="F115" s="31" t="s">
        <v>822</v>
      </c>
      <c r="G115" s="2" t="s">
        <v>230</v>
      </c>
      <c r="H115" s="2" t="s">
        <v>783</v>
      </c>
      <c r="I115" s="5" t="s">
        <v>783</v>
      </c>
      <c r="J115" s="2" t="s">
        <v>783</v>
      </c>
      <c r="K115" s="2"/>
      <c r="L115" s="2" t="s">
        <v>783</v>
      </c>
      <c r="M115" s="27"/>
    </row>
    <row r="116" spans="1:13" customFormat="1" x14ac:dyDescent="0.3">
      <c r="A116" s="16" t="s">
        <v>11</v>
      </c>
      <c r="B116" s="16" t="s">
        <v>4</v>
      </c>
      <c r="C116" s="16" t="s">
        <v>75</v>
      </c>
      <c r="D116" s="16" t="s">
        <v>102</v>
      </c>
      <c r="E116" s="2" t="s">
        <v>61</v>
      </c>
      <c r="F116" s="2" t="s">
        <v>823</v>
      </c>
      <c r="G116" s="2" t="s">
        <v>230</v>
      </c>
      <c r="H116" s="2" t="s">
        <v>783</v>
      </c>
      <c r="I116" s="2" t="s">
        <v>783</v>
      </c>
      <c r="J116" s="2" t="s">
        <v>783</v>
      </c>
      <c r="K116" s="2"/>
      <c r="L116" s="2" t="s">
        <v>783</v>
      </c>
      <c r="M116" s="27"/>
    </row>
    <row r="117" spans="1:13" customFormat="1" x14ac:dyDescent="0.3">
      <c r="A117" s="16" t="s">
        <v>20</v>
      </c>
      <c r="B117" s="16" t="s">
        <v>4</v>
      </c>
      <c r="C117" s="16" t="s">
        <v>82</v>
      </c>
      <c r="D117" s="16" t="s">
        <v>109</v>
      </c>
      <c r="E117" s="2" t="s">
        <v>61</v>
      </c>
      <c r="F117" s="2" t="s">
        <v>191</v>
      </c>
      <c r="G117" s="2" t="s">
        <v>230</v>
      </c>
      <c r="H117" s="2" t="s">
        <v>783</v>
      </c>
      <c r="I117" s="5" t="s">
        <v>783</v>
      </c>
      <c r="J117" s="2" t="s">
        <v>783</v>
      </c>
      <c r="K117" s="2"/>
      <c r="L117" s="2" t="s">
        <v>783</v>
      </c>
      <c r="M117" s="27"/>
    </row>
    <row r="118" spans="1:13" customFormat="1" x14ac:dyDescent="0.3">
      <c r="A118" s="16" t="s">
        <v>21</v>
      </c>
      <c r="B118" s="16" t="s">
        <v>4</v>
      </c>
      <c r="C118" s="16" t="s">
        <v>83</v>
      </c>
      <c r="D118" s="16" t="s">
        <v>110</v>
      </c>
      <c r="E118" s="2" t="s">
        <v>61</v>
      </c>
      <c r="F118" s="2" t="s">
        <v>192</v>
      </c>
      <c r="G118" s="2" t="s">
        <v>230</v>
      </c>
      <c r="H118" s="2" t="s">
        <v>783</v>
      </c>
      <c r="I118" s="2" t="s">
        <v>783</v>
      </c>
      <c r="J118" s="2" t="s">
        <v>783</v>
      </c>
      <c r="K118" s="2"/>
      <c r="L118" s="2" t="s">
        <v>783</v>
      </c>
      <c r="M118" s="27"/>
    </row>
    <row r="119" spans="1:13" customFormat="1" x14ac:dyDescent="0.3">
      <c r="A119" s="16" t="s">
        <v>84</v>
      </c>
      <c r="B119" s="16" t="s">
        <v>4</v>
      </c>
      <c r="C119" s="16" t="s">
        <v>83</v>
      </c>
      <c r="D119" s="16" t="s">
        <v>110</v>
      </c>
      <c r="E119" s="2" t="s">
        <v>61</v>
      </c>
      <c r="F119" s="2" t="s">
        <v>193</v>
      </c>
      <c r="G119" s="2" t="s">
        <v>230</v>
      </c>
      <c r="H119" s="2" t="s">
        <v>783</v>
      </c>
      <c r="I119" s="2" t="s">
        <v>783</v>
      </c>
      <c r="J119" s="2" t="s">
        <v>783</v>
      </c>
      <c r="K119" s="2"/>
      <c r="L119" s="2" t="s">
        <v>783</v>
      </c>
      <c r="M119" s="27"/>
    </row>
    <row r="120" spans="1:13" customFormat="1" x14ac:dyDescent="0.3">
      <c r="A120" s="16" t="s">
        <v>87</v>
      </c>
      <c r="B120" s="16" t="s">
        <v>4</v>
      </c>
      <c r="C120" s="16" t="s">
        <v>86</v>
      </c>
      <c r="D120" s="16" t="s">
        <v>755</v>
      </c>
      <c r="E120" s="2" t="s">
        <v>61</v>
      </c>
      <c r="F120" s="2" t="s">
        <v>756</v>
      </c>
      <c r="G120" s="2" t="s">
        <v>230</v>
      </c>
      <c r="H120" s="2" t="s">
        <v>783</v>
      </c>
      <c r="I120" s="5" t="s">
        <v>783</v>
      </c>
      <c r="J120" s="2" t="s">
        <v>783</v>
      </c>
      <c r="K120" s="2"/>
      <c r="L120" s="2" t="s">
        <v>783</v>
      </c>
      <c r="M120" s="27"/>
    </row>
    <row r="121" spans="1:13" customFormat="1" x14ac:dyDescent="0.3">
      <c r="A121" s="16" t="s">
        <v>273</v>
      </c>
      <c r="B121" s="16" t="s">
        <v>4</v>
      </c>
      <c r="C121" s="16" t="s">
        <v>149</v>
      </c>
      <c r="D121" s="16" t="s">
        <v>102</v>
      </c>
      <c r="E121" s="2" t="s">
        <v>61</v>
      </c>
      <c r="F121" s="2" t="s">
        <v>316</v>
      </c>
      <c r="G121" s="2" t="s">
        <v>230</v>
      </c>
      <c r="H121" s="2" t="s">
        <v>783</v>
      </c>
      <c r="I121" s="2" t="s">
        <v>783</v>
      </c>
      <c r="J121" s="2" t="s">
        <v>783</v>
      </c>
      <c r="K121" s="2"/>
      <c r="L121" s="2" t="s">
        <v>783</v>
      </c>
      <c r="M121" s="27"/>
    </row>
    <row r="122" spans="1:13" customFormat="1" ht="20.399999999999999" x14ac:dyDescent="0.3">
      <c r="A122" s="16" t="s">
        <v>388</v>
      </c>
      <c r="B122" s="16" t="s">
        <v>4</v>
      </c>
      <c r="C122" s="16" t="s">
        <v>387</v>
      </c>
      <c r="D122" s="16" t="s">
        <v>826</v>
      </c>
      <c r="E122" s="2" t="s">
        <v>61</v>
      </c>
      <c r="F122" s="31" t="s">
        <v>824</v>
      </c>
      <c r="G122" s="2" t="s">
        <v>319</v>
      </c>
      <c r="H122" s="33" t="s">
        <v>825</v>
      </c>
      <c r="I122" s="5" t="s">
        <v>4</v>
      </c>
      <c r="J122" s="2" t="s">
        <v>804</v>
      </c>
      <c r="K122" s="28" t="s">
        <v>840</v>
      </c>
      <c r="L122" s="2" t="s">
        <v>61</v>
      </c>
      <c r="M122" s="29" t="s">
        <v>838</v>
      </c>
    </row>
    <row r="123" spans="1:13" customFormat="1" x14ac:dyDescent="0.3">
      <c r="A123" s="16" t="s">
        <v>417</v>
      </c>
      <c r="B123" s="16" t="s">
        <v>4</v>
      </c>
      <c r="C123" s="16" t="s">
        <v>701</v>
      </c>
      <c r="D123" s="16" t="s">
        <v>102</v>
      </c>
      <c r="E123" s="2" t="s">
        <v>61</v>
      </c>
      <c r="F123" s="2" t="s">
        <v>535</v>
      </c>
      <c r="G123" s="2" t="s">
        <v>230</v>
      </c>
      <c r="H123" s="2" t="s">
        <v>783</v>
      </c>
      <c r="I123" s="2" t="s">
        <v>783</v>
      </c>
      <c r="J123" s="2" t="s">
        <v>783</v>
      </c>
      <c r="K123" s="2"/>
      <c r="L123" s="2" t="s">
        <v>783</v>
      </c>
      <c r="M123" s="27"/>
    </row>
    <row r="124" spans="1:13" customFormat="1" x14ac:dyDescent="0.3">
      <c r="A124" s="16" t="s">
        <v>418</v>
      </c>
      <c r="B124" s="16" t="s">
        <v>4</v>
      </c>
      <c r="C124" s="16" t="s">
        <v>700</v>
      </c>
      <c r="D124" s="16" t="s">
        <v>102</v>
      </c>
      <c r="E124" s="2" t="s">
        <v>61</v>
      </c>
      <c r="F124" s="2" t="s">
        <v>536</v>
      </c>
      <c r="G124" s="2" t="s">
        <v>230</v>
      </c>
      <c r="H124" s="2" t="s">
        <v>783</v>
      </c>
      <c r="I124" s="5" t="s">
        <v>783</v>
      </c>
      <c r="J124" s="2" t="s">
        <v>783</v>
      </c>
      <c r="K124" s="2"/>
      <c r="L124" s="2" t="s">
        <v>783</v>
      </c>
      <c r="M124" s="27"/>
    </row>
    <row r="125" spans="1:13" customFormat="1" x14ac:dyDescent="0.3">
      <c r="A125" s="16" t="s">
        <v>419</v>
      </c>
      <c r="B125" s="16" t="s">
        <v>4</v>
      </c>
      <c r="C125" s="16" t="s">
        <v>148</v>
      </c>
      <c r="D125" s="16" t="s">
        <v>102</v>
      </c>
      <c r="E125" s="2" t="s">
        <v>61</v>
      </c>
      <c r="F125" s="2" t="s">
        <v>537</v>
      </c>
      <c r="G125" s="2" t="s">
        <v>230</v>
      </c>
      <c r="H125" s="2" t="s">
        <v>783</v>
      </c>
      <c r="I125" s="2" t="s">
        <v>783</v>
      </c>
      <c r="J125" s="2" t="s">
        <v>783</v>
      </c>
      <c r="K125" s="2"/>
      <c r="L125" s="2" t="s">
        <v>783</v>
      </c>
      <c r="M125" s="27"/>
    </row>
    <row r="126" spans="1:13" customFormat="1" x14ac:dyDescent="0.3">
      <c r="A126" s="16" t="s">
        <v>422</v>
      </c>
      <c r="B126" s="16" t="s">
        <v>4</v>
      </c>
      <c r="C126" s="16" t="s">
        <v>421</v>
      </c>
      <c r="D126" s="16" t="s">
        <v>102</v>
      </c>
      <c r="E126" s="2" t="s">
        <v>61</v>
      </c>
      <c r="F126" s="2" t="s">
        <v>539</v>
      </c>
      <c r="G126" s="2" t="s">
        <v>230</v>
      </c>
      <c r="H126" s="2" t="s">
        <v>783</v>
      </c>
      <c r="I126" s="5" t="s">
        <v>783</v>
      </c>
      <c r="J126" s="2" t="s">
        <v>783</v>
      </c>
      <c r="K126" s="2"/>
      <c r="L126" s="2" t="s">
        <v>783</v>
      </c>
      <c r="M126" s="27"/>
    </row>
    <row r="127" spans="1:13" customFormat="1" x14ac:dyDescent="0.3">
      <c r="A127" s="16" t="s">
        <v>423</v>
      </c>
      <c r="B127" s="16" t="s">
        <v>4</v>
      </c>
      <c r="C127" s="16" t="s">
        <v>699</v>
      </c>
      <c r="D127" s="16" t="s">
        <v>504</v>
      </c>
      <c r="E127" s="2" t="s">
        <v>61</v>
      </c>
      <c r="F127" s="2" t="s">
        <v>540</v>
      </c>
      <c r="G127" s="2" t="s">
        <v>230</v>
      </c>
      <c r="H127" s="2" t="s">
        <v>783</v>
      </c>
      <c r="I127" s="2" t="s">
        <v>783</v>
      </c>
      <c r="J127" s="2" t="s">
        <v>783</v>
      </c>
      <c r="K127" s="2"/>
      <c r="L127" s="2" t="s">
        <v>783</v>
      </c>
      <c r="M127" s="27"/>
    </row>
    <row r="128" spans="1:13" customFormat="1" x14ac:dyDescent="0.3">
      <c r="A128" s="16" t="s">
        <v>425</v>
      </c>
      <c r="B128" s="16" t="s">
        <v>4</v>
      </c>
      <c r="C128" s="16" t="s">
        <v>424</v>
      </c>
      <c r="D128" s="16" t="s">
        <v>505</v>
      </c>
      <c r="E128" s="2" t="s">
        <v>61</v>
      </c>
      <c r="F128" s="2" t="s">
        <v>541</v>
      </c>
      <c r="G128" s="2" t="s">
        <v>230</v>
      </c>
      <c r="H128" s="2" t="s">
        <v>783</v>
      </c>
      <c r="I128" s="5" t="s">
        <v>783</v>
      </c>
      <c r="J128" s="2" t="s">
        <v>783</v>
      </c>
      <c r="K128" s="2"/>
      <c r="L128" s="2" t="s">
        <v>783</v>
      </c>
      <c r="M128" s="27"/>
    </row>
    <row r="129" spans="1:13" customFormat="1" x14ac:dyDescent="0.3">
      <c r="A129" s="16" t="s">
        <v>435</v>
      </c>
      <c r="B129" s="16" t="s">
        <v>4</v>
      </c>
      <c r="C129" s="16" t="s">
        <v>434</v>
      </c>
      <c r="D129" s="16" t="s">
        <v>111</v>
      </c>
      <c r="E129" s="2" t="s">
        <v>61</v>
      </c>
      <c r="F129" s="2" t="s">
        <v>546</v>
      </c>
      <c r="G129" s="2" t="s">
        <v>230</v>
      </c>
      <c r="H129" s="2" t="s">
        <v>783</v>
      </c>
      <c r="I129" s="2" t="s">
        <v>783</v>
      </c>
      <c r="J129" s="2" t="s">
        <v>783</v>
      </c>
      <c r="K129" s="2"/>
      <c r="L129" s="2" t="s">
        <v>783</v>
      </c>
      <c r="M129" s="27"/>
    </row>
    <row r="130" spans="1:13" customFormat="1" x14ac:dyDescent="0.3">
      <c r="A130" s="16" t="s">
        <v>429</v>
      </c>
      <c r="B130" s="16" t="s">
        <v>4</v>
      </c>
      <c r="C130" s="16" t="s">
        <v>428</v>
      </c>
      <c r="D130" s="16" t="s">
        <v>507</v>
      </c>
      <c r="E130" s="2" t="s">
        <v>233</v>
      </c>
      <c r="F130" s="2" t="s">
        <v>543</v>
      </c>
      <c r="G130" s="2" t="s">
        <v>230</v>
      </c>
      <c r="H130" s="2" t="s">
        <v>783</v>
      </c>
      <c r="I130" s="5" t="s">
        <v>783</v>
      </c>
      <c r="J130" s="2" t="s">
        <v>783</v>
      </c>
      <c r="K130" s="2"/>
      <c r="L130" s="2" t="s">
        <v>783</v>
      </c>
      <c r="M130" s="27"/>
    </row>
    <row r="131" spans="1:13" customFormat="1" x14ac:dyDescent="0.3">
      <c r="A131" s="16" t="s">
        <v>42</v>
      </c>
      <c r="B131" s="16" t="s">
        <v>4</v>
      </c>
      <c r="C131" s="16" t="s">
        <v>148</v>
      </c>
      <c r="D131" s="16" t="s">
        <v>141</v>
      </c>
      <c r="E131" s="2" t="s">
        <v>231</v>
      </c>
      <c r="F131" s="2" t="s">
        <v>212</v>
      </c>
      <c r="G131" s="2" t="s">
        <v>320</v>
      </c>
      <c r="H131" s="2" t="s">
        <v>783</v>
      </c>
      <c r="I131" s="2" t="s">
        <v>783</v>
      </c>
      <c r="J131" s="2" t="s">
        <v>783</v>
      </c>
      <c r="K131" s="2"/>
      <c r="L131" s="2" t="s">
        <v>783</v>
      </c>
      <c r="M131" s="27"/>
    </row>
    <row r="132" spans="1:13" customFormat="1" x14ac:dyDescent="0.3">
      <c r="A132" s="16" t="s">
        <v>7</v>
      </c>
      <c r="B132" s="16" t="s">
        <v>4</v>
      </c>
      <c r="C132" s="16" t="s">
        <v>149</v>
      </c>
      <c r="D132" s="16" t="s">
        <v>142</v>
      </c>
      <c r="E132" s="2" t="s">
        <v>231</v>
      </c>
      <c r="F132" s="31" t="s">
        <v>827</v>
      </c>
      <c r="G132" s="2" t="s">
        <v>319</v>
      </c>
      <c r="H132" s="2" t="s">
        <v>273</v>
      </c>
      <c r="I132" s="5" t="s">
        <v>4</v>
      </c>
      <c r="J132" s="2" t="s">
        <v>783</v>
      </c>
      <c r="K132" s="2" t="s">
        <v>102</v>
      </c>
      <c r="L132" s="2" t="s">
        <v>61</v>
      </c>
      <c r="M132" s="29" t="s">
        <v>841</v>
      </c>
    </row>
    <row r="133" spans="1:13" customFormat="1" x14ac:dyDescent="0.3">
      <c r="A133" s="16" t="s">
        <v>34</v>
      </c>
      <c r="B133" s="16" t="s">
        <v>4</v>
      </c>
      <c r="C133" s="16" t="s">
        <v>98</v>
      </c>
      <c r="D133" s="16" t="s">
        <v>114</v>
      </c>
      <c r="E133" s="2" t="s">
        <v>231</v>
      </c>
      <c r="F133" s="31" t="s">
        <v>828</v>
      </c>
      <c r="G133" s="2" t="s">
        <v>320</v>
      </c>
      <c r="H133" s="2" t="s">
        <v>783</v>
      </c>
      <c r="I133" s="2" t="s">
        <v>783</v>
      </c>
      <c r="J133" s="2" t="s">
        <v>783</v>
      </c>
      <c r="K133" s="2"/>
      <c r="L133" s="2" t="s">
        <v>783</v>
      </c>
      <c r="M133" s="27"/>
    </row>
    <row r="134" spans="1:13" customFormat="1" x14ac:dyDescent="0.3">
      <c r="A134" s="16" t="s">
        <v>53</v>
      </c>
      <c r="B134" s="16" t="s">
        <v>4</v>
      </c>
      <c r="C134" s="16" t="s">
        <v>167</v>
      </c>
      <c r="D134" s="16" t="s">
        <v>143</v>
      </c>
      <c r="E134" s="2" t="s">
        <v>231</v>
      </c>
      <c r="F134" s="2" t="s">
        <v>221</v>
      </c>
      <c r="G134" s="2" t="s">
        <v>319</v>
      </c>
      <c r="H134" s="2" t="s">
        <v>330</v>
      </c>
      <c r="I134" s="5" t="s">
        <v>4</v>
      </c>
      <c r="J134" s="2" t="s">
        <v>783</v>
      </c>
      <c r="K134" s="2"/>
      <c r="L134" s="2" t="s">
        <v>232</v>
      </c>
      <c r="M134" s="27" t="s">
        <v>354</v>
      </c>
    </row>
    <row r="135" spans="1:13" customFormat="1" x14ac:dyDescent="0.3">
      <c r="A135" s="16" t="s">
        <v>168</v>
      </c>
      <c r="B135" s="16" t="s">
        <v>4</v>
      </c>
      <c r="C135" s="16" t="s">
        <v>167</v>
      </c>
      <c r="D135" s="16" t="s">
        <v>143</v>
      </c>
      <c r="E135" s="2" t="s">
        <v>231</v>
      </c>
      <c r="F135" s="2" t="s">
        <v>222</v>
      </c>
      <c r="G135" s="2" t="s">
        <v>319</v>
      </c>
      <c r="H135" s="2" t="s">
        <v>331</v>
      </c>
      <c r="I135" s="2" t="s">
        <v>4</v>
      </c>
      <c r="J135" s="2" t="s">
        <v>783</v>
      </c>
      <c r="K135" s="2"/>
      <c r="L135" s="2" t="s">
        <v>232</v>
      </c>
      <c r="M135" s="27" t="s">
        <v>354</v>
      </c>
    </row>
    <row r="136" spans="1:13" customFormat="1" x14ac:dyDescent="0.3">
      <c r="A136" s="16" t="s">
        <v>54</v>
      </c>
      <c r="B136" s="16" t="s">
        <v>4</v>
      </c>
      <c r="C136" s="16" t="s">
        <v>169</v>
      </c>
      <c r="D136" s="16" t="s">
        <v>144</v>
      </c>
      <c r="E136" s="2" t="s">
        <v>231</v>
      </c>
      <c r="F136" s="2" t="s">
        <v>223</v>
      </c>
      <c r="G136" s="2" t="s">
        <v>319</v>
      </c>
      <c r="H136" s="2" t="s">
        <v>332</v>
      </c>
      <c r="I136" s="5" t="s">
        <v>4</v>
      </c>
      <c r="J136" s="2" t="s">
        <v>783</v>
      </c>
      <c r="K136" s="2"/>
      <c r="L136" s="2" t="s">
        <v>232</v>
      </c>
      <c r="M136" s="27" t="s">
        <v>355</v>
      </c>
    </row>
    <row r="137" spans="1:13" customFormat="1" x14ac:dyDescent="0.3">
      <c r="A137" s="16" t="s">
        <v>170</v>
      </c>
      <c r="B137" s="16" t="s">
        <v>4</v>
      </c>
      <c r="C137" s="16" t="s">
        <v>153</v>
      </c>
      <c r="D137" s="16" t="s">
        <v>145</v>
      </c>
      <c r="E137" s="2" t="s">
        <v>231</v>
      </c>
      <c r="F137" s="2" t="s">
        <v>224</v>
      </c>
      <c r="G137" s="2" t="s">
        <v>320</v>
      </c>
      <c r="H137" s="2" t="s">
        <v>783</v>
      </c>
      <c r="I137" s="2" t="s">
        <v>783</v>
      </c>
      <c r="J137" s="2" t="s">
        <v>783</v>
      </c>
      <c r="K137" s="2"/>
      <c r="L137" s="2" t="s">
        <v>783</v>
      </c>
      <c r="M137" s="27"/>
    </row>
    <row r="138" spans="1:13" customFormat="1" x14ac:dyDescent="0.3">
      <c r="A138" s="16" t="s">
        <v>5</v>
      </c>
      <c r="B138" s="16" t="s">
        <v>4</v>
      </c>
      <c r="C138" s="16" t="s">
        <v>73</v>
      </c>
      <c r="D138" s="16" t="s">
        <v>101</v>
      </c>
      <c r="E138" s="2" t="s">
        <v>231</v>
      </c>
      <c r="F138" s="2" t="s">
        <v>187</v>
      </c>
      <c r="G138" s="2" t="s">
        <v>320</v>
      </c>
      <c r="H138" s="2" t="s">
        <v>783</v>
      </c>
      <c r="I138" s="5" t="s">
        <v>783</v>
      </c>
      <c r="J138" s="2" t="s">
        <v>783</v>
      </c>
      <c r="K138" s="2"/>
      <c r="L138" s="2" t="s">
        <v>783</v>
      </c>
      <c r="M138" s="27"/>
    </row>
    <row r="139" spans="1:13" customFormat="1" x14ac:dyDescent="0.3">
      <c r="A139" s="16" t="s">
        <v>79</v>
      </c>
      <c r="B139" s="16" t="s">
        <v>4</v>
      </c>
      <c r="C139" s="16" t="s">
        <v>78</v>
      </c>
      <c r="D139" s="16" t="s">
        <v>105</v>
      </c>
      <c r="E139" s="2" t="s">
        <v>231</v>
      </c>
      <c r="F139" s="2" t="s">
        <v>189</v>
      </c>
      <c r="G139" s="2" t="s">
        <v>319</v>
      </c>
      <c r="H139" s="2" t="s">
        <v>326</v>
      </c>
      <c r="I139" s="5" t="s">
        <v>4</v>
      </c>
      <c r="J139" s="2" t="s">
        <v>783</v>
      </c>
      <c r="K139" s="2" t="s">
        <v>105</v>
      </c>
      <c r="L139" s="2" t="s">
        <v>231</v>
      </c>
      <c r="M139" s="27" t="s">
        <v>344</v>
      </c>
    </row>
    <row r="140" spans="1:13" customFormat="1" x14ac:dyDescent="0.3">
      <c r="A140" s="16" t="s">
        <v>16</v>
      </c>
      <c r="B140" s="16" t="s">
        <v>4</v>
      </c>
      <c r="C140" s="16" t="s">
        <v>65</v>
      </c>
      <c r="D140" s="16" t="s">
        <v>106</v>
      </c>
      <c r="E140" s="2" t="s">
        <v>231</v>
      </c>
      <c r="F140" s="31" t="s">
        <v>829</v>
      </c>
      <c r="G140" s="2" t="s">
        <v>319</v>
      </c>
      <c r="H140" s="2" t="s">
        <v>322</v>
      </c>
      <c r="I140" s="5" t="s">
        <v>4</v>
      </c>
      <c r="J140" s="2" t="s">
        <v>783</v>
      </c>
      <c r="K140" s="2" t="s">
        <v>341</v>
      </c>
      <c r="L140" s="2" t="s">
        <v>61</v>
      </c>
      <c r="M140" s="29" t="s">
        <v>830</v>
      </c>
    </row>
    <row r="141" spans="1:13" customFormat="1" x14ac:dyDescent="0.3">
      <c r="A141" s="16" t="s">
        <v>17</v>
      </c>
      <c r="B141" s="16" t="s">
        <v>4</v>
      </c>
      <c r="C141" s="16" t="s">
        <v>80</v>
      </c>
      <c r="D141" s="16" t="s">
        <v>106</v>
      </c>
      <c r="E141" s="2" t="s">
        <v>231</v>
      </c>
      <c r="F141" s="31" t="s">
        <v>832</v>
      </c>
      <c r="G141" s="2" t="s">
        <v>319</v>
      </c>
      <c r="H141" s="2" t="s">
        <v>323</v>
      </c>
      <c r="I141" s="5" t="s">
        <v>4</v>
      </c>
      <c r="J141" s="2" t="s">
        <v>783</v>
      </c>
      <c r="K141" s="2" t="s">
        <v>341</v>
      </c>
      <c r="L141" s="2" t="s">
        <v>61</v>
      </c>
      <c r="M141" s="29" t="s">
        <v>831</v>
      </c>
    </row>
    <row r="142" spans="1:13" customFormat="1" x14ac:dyDescent="0.3">
      <c r="A142" s="16" t="s">
        <v>18</v>
      </c>
      <c r="B142" s="16" t="s">
        <v>4</v>
      </c>
      <c r="C142" s="16" t="s">
        <v>81</v>
      </c>
      <c r="D142" s="16" t="s">
        <v>107</v>
      </c>
      <c r="E142" s="2" t="s">
        <v>231</v>
      </c>
      <c r="F142" s="31" t="s">
        <v>833</v>
      </c>
      <c r="G142" s="2" t="s">
        <v>319</v>
      </c>
      <c r="H142" s="2" t="s">
        <v>340</v>
      </c>
      <c r="I142" s="5" t="s">
        <v>4</v>
      </c>
      <c r="J142" s="2" t="s">
        <v>783</v>
      </c>
      <c r="K142" s="2" t="s">
        <v>110</v>
      </c>
      <c r="L142" s="2" t="s">
        <v>61</v>
      </c>
      <c r="M142" s="27" t="s">
        <v>834</v>
      </c>
    </row>
    <row r="143" spans="1:13" customFormat="1" x14ac:dyDescent="0.3">
      <c r="A143" s="16" t="s">
        <v>19</v>
      </c>
      <c r="B143" s="16" t="s">
        <v>4</v>
      </c>
      <c r="C143" s="16" t="s">
        <v>66</v>
      </c>
      <c r="D143" s="16" t="s">
        <v>108</v>
      </c>
      <c r="E143" s="2" t="s">
        <v>231</v>
      </c>
      <c r="F143" s="2" t="s">
        <v>190</v>
      </c>
      <c r="G143" s="2" t="s">
        <v>319</v>
      </c>
      <c r="H143" s="2" t="s">
        <v>333</v>
      </c>
      <c r="I143" s="2" t="s">
        <v>4</v>
      </c>
      <c r="J143" s="2" t="s">
        <v>783</v>
      </c>
      <c r="K143" s="2" t="s">
        <v>110</v>
      </c>
      <c r="L143" s="2" t="s">
        <v>61</v>
      </c>
      <c r="M143" s="27" t="s">
        <v>345</v>
      </c>
    </row>
    <row r="144" spans="1:13" customFormat="1" x14ac:dyDescent="0.3">
      <c r="A144" s="16" t="s">
        <v>22</v>
      </c>
      <c r="B144" s="16" t="s">
        <v>4</v>
      </c>
      <c r="C144" s="16" t="s">
        <v>85</v>
      </c>
      <c r="D144" s="16" t="s">
        <v>814</v>
      </c>
      <c r="E144" s="2" t="s">
        <v>231</v>
      </c>
      <c r="F144" s="2" t="s">
        <v>815</v>
      </c>
      <c r="G144" s="2" t="s">
        <v>319</v>
      </c>
      <c r="H144" s="2" t="s">
        <v>324</v>
      </c>
      <c r="I144" s="2" t="s">
        <v>4</v>
      </c>
      <c r="J144" s="2" t="s">
        <v>783</v>
      </c>
      <c r="K144" s="2"/>
      <c r="L144" s="2" t="s">
        <v>783</v>
      </c>
      <c r="M144" s="27"/>
    </row>
    <row r="145" spans="1:13" customFormat="1" x14ac:dyDescent="0.3">
      <c r="A145" s="16" t="s">
        <v>26</v>
      </c>
      <c r="B145" s="16" t="s">
        <v>4</v>
      </c>
      <c r="C145" s="16" t="s">
        <v>89</v>
      </c>
      <c r="D145" s="16" t="s">
        <v>112</v>
      </c>
      <c r="E145" s="2" t="s">
        <v>231</v>
      </c>
      <c r="F145" s="31" t="s">
        <v>835</v>
      </c>
      <c r="G145" s="2" t="s">
        <v>319</v>
      </c>
      <c r="H145" s="2" t="s">
        <v>325</v>
      </c>
      <c r="I145" s="2" t="s">
        <v>4</v>
      </c>
      <c r="J145" s="2" t="s">
        <v>783</v>
      </c>
      <c r="K145" s="2" t="s">
        <v>103</v>
      </c>
      <c r="L145" s="2" t="s">
        <v>232</v>
      </c>
      <c r="M145" s="29" t="s">
        <v>836</v>
      </c>
    </row>
    <row r="146" spans="1:13" customFormat="1" x14ac:dyDescent="0.3">
      <c r="A146" s="16" t="s">
        <v>270</v>
      </c>
      <c r="B146" s="16" t="s">
        <v>4</v>
      </c>
      <c r="C146" s="16" t="s">
        <v>274</v>
      </c>
      <c r="D146" s="16" t="s">
        <v>288</v>
      </c>
      <c r="E146" s="2" t="s">
        <v>231</v>
      </c>
      <c r="F146" s="2" t="s">
        <v>314</v>
      </c>
      <c r="G146" s="2" t="s">
        <v>319</v>
      </c>
      <c r="H146" s="2" t="s">
        <v>665</v>
      </c>
      <c r="I146" s="2" t="s">
        <v>4</v>
      </c>
      <c r="J146" s="2" t="s">
        <v>783</v>
      </c>
      <c r="K146" s="2"/>
      <c r="L146" s="2" t="s">
        <v>232</v>
      </c>
      <c r="M146" s="27" t="s">
        <v>837</v>
      </c>
    </row>
    <row r="147" spans="1:13" customFormat="1" x14ac:dyDescent="0.3">
      <c r="A147" s="16" t="s">
        <v>235</v>
      </c>
      <c r="B147" s="16" t="s">
        <v>4</v>
      </c>
      <c r="C147" s="16" t="s">
        <v>66</v>
      </c>
      <c r="D147" s="16" t="s">
        <v>282</v>
      </c>
      <c r="E147" s="2" t="s">
        <v>231</v>
      </c>
      <c r="F147" s="2" t="s">
        <v>304</v>
      </c>
      <c r="G147" s="2" t="s">
        <v>319</v>
      </c>
      <c r="H147" s="2" t="s">
        <v>659</v>
      </c>
      <c r="I147" s="2" t="s">
        <v>4</v>
      </c>
      <c r="J147" s="2" t="s">
        <v>783</v>
      </c>
      <c r="K147" s="2"/>
      <c r="L147" s="2" t="s">
        <v>61</v>
      </c>
      <c r="M147" s="27" t="s">
        <v>838</v>
      </c>
    </row>
    <row r="148" spans="1:13" customFormat="1" x14ac:dyDescent="0.3">
      <c r="A148" s="16" t="s">
        <v>15</v>
      </c>
      <c r="B148" s="16" t="s">
        <v>4</v>
      </c>
      <c r="C148" s="16" t="s">
        <v>236</v>
      </c>
      <c r="D148" s="16" t="s">
        <v>105</v>
      </c>
      <c r="E148" s="2" t="s">
        <v>231</v>
      </c>
      <c r="F148" s="31" t="s">
        <v>189</v>
      </c>
      <c r="G148" s="2" t="s">
        <v>319</v>
      </c>
      <c r="H148" s="2" t="s">
        <v>326</v>
      </c>
      <c r="I148" s="2" t="s">
        <v>4</v>
      </c>
      <c r="J148" s="2" t="s">
        <v>783</v>
      </c>
      <c r="K148" s="2"/>
      <c r="L148" s="2" t="s">
        <v>231</v>
      </c>
      <c r="M148" s="27" t="s">
        <v>839</v>
      </c>
    </row>
    <row r="149" spans="1:13" customFormat="1" x14ac:dyDescent="0.3">
      <c r="A149" s="16" t="s">
        <v>404</v>
      </c>
      <c r="B149" s="16" t="s">
        <v>4</v>
      </c>
      <c r="C149" s="16" t="s">
        <v>403</v>
      </c>
      <c r="D149" s="16" t="s">
        <v>498</v>
      </c>
      <c r="E149" s="2" t="s">
        <v>231</v>
      </c>
      <c r="F149" s="2" t="s">
        <v>528</v>
      </c>
      <c r="G149" s="2" t="s">
        <v>319</v>
      </c>
      <c r="H149" s="2" t="s">
        <v>664</v>
      </c>
      <c r="I149" s="2" t="s">
        <v>4</v>
      </c>
      <c r="J149" s="2" t="s">
        <v>783</v>
      </c>
      <c r="K149" s="2"/>
      <c r="L149" s="2" t="s">
        <v>783</v>
      </c>
      <c r="M149" s="27"/>
    </row>
    <row r="150" spans="1:13" customFormat="1" x14ac:dyDescent="0.3">
      <c r="A150" s="16" t="s">
        <v>622</v>
      </c>
      <c r="B150" s="16" t="s">
        <v>4</v>
      </c>
      <c r="C150" s="16" t="s">
        <v>621</v>
      </c>
      <c r="D150" s="16" t="s">
        <v>632</v>
      </c>
      <c r="E150" s="2" t="s">
        <v>231</v>
      </c>
      <c r="F150" s="2" t="s">
        <v>638</v>
      </c>
      <c r="G150" s="2" t="s">
        <v>319</v>
      </c>
      <c r="H150" s="2" t="s">
        <v>273</v>
      </c>
      <c r="I150" s="2" t="s">
        <v>4</v>
      </c>
      <c r="J150" s="2" t="s">
        <v>783</v>
      </c>
      <c r="K150" s="2"/>
      <c r="L150" s="2" t="s">
        <v>61</v>
      </c>
      <c r="M150" s="27"/>
    </row>
    <row r="151" spans="1:13" customFormat="1" x14ac:dyDescent="0.3">
      <c r="A151" s="16" t="s">
        <v>380</v>
      </c>
      <c r="B151" s="16" t="s">
        <v>4</v>
      </c>
      <c r="C151" s="16" t="s">
        <v>379</v>
      </c>
      <c r="D151" s="16" t="s">
        <v>491</v>
      </c>
      <c r="E151" s="2" t="s">
        <v>231</v>
      </c>
      <c r="F151" s="2" t="s">
        <v>513</v>
      </c>
      <c r="G151" s="2" t="s">
        <v>319</v>
      </c>
      <c r="H151" s="2" t="s">
        <v>666</v>
      </c>
      <c r="I151" s="5" t="s">
        <v>4</v>
      </c>
      <c r="J151" s="2" t="s">
        <v>783</v>
      </c>
      <c r="K151" s="2" t="s">
        <v>678</v>
      </c>
      <c r="L151" s="2" t="s">
        <v>233</v>
      </c>
      <c r="M151" s="27"/>
    </row>
    <row r="152" spans="1:13" customFormat="1" x14ac:dyDescent="0.3">
      <c r="A152" s="16" t="s">
        <v>382</v>
      </c>
      <c r="B152" s="16" t="s">
        <v>4</v>
      </c>
      <c r="C152" s="16" t="s">
        <v>381</v>
      </c>
      <c r="D152" s="16" t="s">
        <v>492</v>
      </c>
      <c r="E152" s="2" t="s">
        <v>231</v>
      </c>
      <c r="F152" s="2" t="s">
        <v>514</v>
      </c>
      <c r="G152" s="2" t="s">
        <v>319</v>
      </c>
      <c r="H152" s="2" t="s">
        <v>667</v>
      </c>
      <c r="I152" s="5" t="s">
        <v>4</v>
      </c>
      <c r="J152" s="2" t="s">
        <v>783</v>
      </c>
      <c r="K152" s="2" t="s">
        <v>110</v>
      </c>
      <c r="L152" s="2" t="s">
        <v>61</v>
      </c>
      <c r="M152" s="27"/>
    </row>
    <row r="153" spans="1:13" customFormat="1" x14ac:dyDescent="0.3">
      <c r="A153" s="16" t="s">
        <v>384</v>
      </c>
      <c r="B153" s="16" t="s">
        <v>4</v>
      </c>
      <c r="C153" s="16" t="s">
        <v>383</v>
      </c>
      <c r="D153" s="16" t="s">
        <v>493</v>
      </c>
      <c r="E153" s="2" t="s">
        <v>231</v>
      </c>
      <c r="F153" s="2" t="s">
        <v>515</v>
      </c>
      <c r="G153" s="2" t="s">
        <v>319</v>
      </c>
      <c r="H153" s="2" t="s">
        <v>668</v>
      </c>
      <c r="I153" s="5" t="s">
        <v>4</v>
      </c>
      <c r="J153" s="2" t="s">
        <v>783</v>
      </c>
      <c r="K153" s="2" t="s">
        <v>679</v>
      </c>
      <c r="L153" s="2" t="s">
        <v>231</v>
      </c>
      <c r="M153" s="27"/>
    </row>
    <row r="154" spans="1:13" customFormat="1" x14ac:dyDescent="0.3">
      <c r="A154" s="16" t="s">
        <v>389</v>
      </c>
      <c r="B154" s="16" t="s">
        <v>4</v>
      </c>
      <c r="C154" s="16" t="s">
        <v>702</v>
      </c>
      <c r="D154" s="16" t="s">
        <v>494</v>
      </c>
      <c r="E154" s="2" t="s">
        <v>231</v>
      </c>
      <c r="F154" s="2" t="s">
        <v>517</v>
      </c>
      <c r="G154" s="2" t="s">
        <v>320</v>
      </c>
      <c r="H154" s="2" t="s">
        <v>783</v>
      </c>
      <c r="I154" s="5" t="s">
        <v>783</v>
      </c>
      <c r="J154" s="2" t="s">
        <v>783</v>
      </c>
      <c r="K154" s="2"/>
      <c r="L154" s="2" t="s">
        <v>783</v>
      </c>
      <c r="M154" s="27"/>
    </row>
    <row r="155" spans="1:13" customFormat="1" x14ac:dyDescent="0.3">
      <c r="A155" s="16" t="s">
        <v>390</v>
      </c>
      <c r="B155" s="16" t="s">
        <v>4</v>
      </c>
      <c r="C155" s="16" t="s">
        <v>703</v>
      </c>
      <c r="D155" s="16" t="s">
        <v>495</v>
      </c>
      <c r="E155" s="2" t="s">
        <v>231</v>
      </c>
      <c r="F155" s="2" t="s">
        <v>518</v>
      </c>
      <c r="G155" s="2" t="s">
        <v>319</v>
      </c>
      <c r="H155" s="2" t="s">
        <v>669</v>
      </c>
      <c r="I155" s="2" t="s">
        <v>4</v>
      </c>
      <c r="J155" s="2" t="s">
        <v>783</v>
      </c>
      <c r="K155" s="2" t="s">
        <v>497</v>
      </c>
      <c r="L155" s="2" t="s">
        <v>232</v>
      </c>
      <c r="M155" s="27"/>
    </row>
    <row r="156" spans="1:13" customFormat="1" x14ac:dyDescent="0.3">
      <c r="A156" s="16" t="s">
        <v>392</v>
      </c>
      <c r="B156" s="16" t="s">
        <v>4</v>
      </c>
      <c r="C156" s="16" t="s">
        <v>391</v>
      </c>
      <c r="D156" s="16" t="s">
        <v>496</v>
      </c>
      <c r="E156" s="2" t="s">
        <v>231</v>
      </c>
      <c r="F156" s="2" t="s">
        <v>519</v>
      </c>
      <c r="G156" s="2" t="s">
        <v>320</v>
      </c>
      <c r="H156" s="2" t="s">
        <v>783</v>
      </c>
      <c r="I156" s="5" t="s">
        <v>783</v>
      </c>
      <c r="J156" s="2" t="s">
        <v>783</v>
      </c>
      <c r="K156" s="2"/>
      <c r="L156" s="2" t="s">
        <v>783</v>
      </c>
      <c r="M156" s="27"/>
    </row>
    <row r="157" spans="1:13" customFormat="1" x14ac:dyDescent="0.3">
      <c r="A157" s="16" t="s">
        <v>400</v>
      </c>
      <c r="B157" s="16" t="s">
        <v>4</v>
      </c>
      <c r="C157" s="16" t="s">
        <v>704</v>
      </c>
      <c r="D157" s="16" t="s">
        <v>144</v>
      </c>
      <c r="E157" s="2" t="s">
        <v>231</v>
      </c>
      <c r="F157" s="2" t="s">
        <v>526</v>
      </c>
      <c r="G157" s="2" t="s">
        <v>319</v>
      </c>
      <c r="H157" s="2" t="s">
        <v>670</v>
      </c>
      <c r="I157" s="2" t="s">
        <v>4</v>
      </c>
      <c r="J157" s="2" t="s">
        <v>783</v>
      </c>
      <c r="K157" s="2" t="s">
        <v>497</v>
      </c>
      <c r="L157" s="2" t="s">
        <v>232</v>
      </c>
      <c r="M157" s="27"/>
    </row>
    <row r="158" spans="1:13" customFormat="1" x14ac:dyDescent="0.3">
      <c r="A158" s="16" t="s">
        <v>408</v>
      </c>
      <c r="B158" s="16" t="s">
        <v>4</v>
      </c>
      <c r="C158" s="16" t="s">
        <v>407</v>
      </c>
      <c r="D158" s="16" t="s">
        <v>499</v>
      </c>
      <c r="E158" s="2" t="s">
        <v>231</v>
      </c>
      <c r="F158" s="2" t="s">
        <v>530</v>
      </c>
      <c r="G158" s="2" t="s">
        <v>319</v>
      </c>
      <c r="H158" s="2" t="s">
        <v>671</v>
      </c>
      <c r="I158" s="2" t="s">
        <v>4</v>
      </c>
      <c r="J158" s="2" t="s">
        <v>783</v>
      </c>
      <c r="K158" s="2" t="s">
        <v>680</v>
      </c>
      <c r="L158" s="2" t="s">
        <v>231</v>
      </c>
      <c r="M158" s="27"/>
    </row>
    <row r="159" spans="1:13" customFormat="1" x14ac:dyDescent="0.3">
      <c r="A159" s="16" t="s">
        <v>412</v>
      </c>
      <c r="B159" s="16" t="s">
        <v>4</v>
      </c>
      <c r="C159" s="16" t="s">
        <v>411</v>
      </c>
      <c r="D159" s="16" t="s">
        <v>500</v>
      </c>
      <c r="E159" s="2" t="s">
        <v>231</v>
      </c>
      <c r="F159" s="2" t="s">
        <v>532</v>
      </c>
      <c r="G159" s="2" t="s">
        <v>320</v>
      </c>
      <c r="H159" s="2" t="s">
        <v>783</v>
      </c>
      <c r="I159" s="5" t="s">
        <v>783</v>
      </c>
      <c r="J159" s="2" t="s">
        <v>783</v>
      </c>
      <c r="K159" s="2"/>
      <c r="L159" s="2" t="s">
        <v>783</v>
      </c>
      <c r="M159" s="27"/>
    </row>
    <row r="160" spans="1:13" customFormat="1" x14ac:dyDescent="0.3">
      <c r="A160" s="16" t="s">
        <v>414</v>
      </c>
      <c r="B160" s="16" t="s">
        <v>4</v>
      </c>
      <c r="C160" s="16" t="s">
        <v>413</v>
      </c>
      <c r="D160" s="16" t="s">
        <v>501</v>
      </c>
      <c r="E160" s="2" t="s">
        <v>231</v>
      </c>
      <c r="F160" s="2" t="s">
        <v>533</v>
      </c>
      <c r="G160" s="2" t="s">
        <v>320</v>
      </c>
      <c r="H160" s="2" t="s">
        <v>783</v>
      </c>
      <c r="I160" s="2" t="s">
        <v>783</v>
      </c>
      <c r="J160" s="2" t="s">
        <v>783</v>
      </c>
      <c r="K160" s="2"/>
      <c r="L160" s="2" t="s">
        <v>783</v>
      </c>
      <c r="M160" s="27"/>
    </row>
    <row r="161" spans="1:13" customFormat="1" x14ac:dyDescent="0.3">
      <c r="A161" s="16" t="s">
        <v>416</v>
      </c>
      <c r="B161" s="16" t="s">
        <v>4</v>
      </c>
      <c r="C161" s="16" t="s">
        <v>415</v>
      </c>
      <c r="D161" s="16" t="s">
        <v>502</v>
      </c>
      <c r="E161" s="2" t="s">
        <v>231</v>
      </c>
      <c r="F161" s="2" t="s">
        <v>534</v>
      </c>
      <c r="G161" s="2" t="s">
        <v>319</v>
      </c>
      <c r="H161" s="2" t="s">
        <v>672</v>
      </c>
      <c r="I161" s="5" t="s">
        <v>4</v>
      </c>
      <c r="J161" s="2" t="s">
        <v>783</v>
      </c>
      <c r="K161" s="2" t="s">
        <v>507</v>
      </c>
      <c r="L161" s="2" t="s">
        <v>233</v>
      </c>
      <c r="M161" s="27"/>
    </row>
    <row r="162" spans="1:13" customFormat="1" ht="20.399999999999999" x14ac:dyDescent="0.3">
      <c r="A162" s="16" t="s">
        <v>420</v>
      </c>
      <c r="B162" s="16" t="s">
        <v>4</v>
      </c>
      <c r="C162" s="16" t="s">
        <v>705</v>
      </c>
      <c r="D162" s="16" t="s">
        <v>503</v>
      </c>
      <c r="E162" s="2" t="s">
        <v>231</v>
      </c>
      <c r="F162" s="2" t="s">
        <v>538</v>
      </c>
      <c r="G162" s="2" t="s">
        <v>319</v>
      </c>
      <c r="H162" s="2" t="s">
        <v>673</v>
      </c>
      <c r="I162" s="5" t="s">
        <v>4</v>
      </c>
      <c r="J162" s="2" t="s">
        <v>783</v>
      </c>
      <c r="K162" s="28" t="s">
        <v>681</v>
      </c>
      <c r="L162" s="2" t="s">
        <v>61</v>
      </c>
      <c r="M162" s="27"/>
    </row>
    <row r="163" spans="1:13" customFormat="1" x14ac:dyDescent="0.3">
      <c r="A163" s="16" t="s">
        <v>427</v>
      </c>
      <c r="B163" s="16" t="s">
        <v>4</v>
      </c>
      <c r="C163" s="16" t="s">
        <v>426</v>
      </c>
      <c r="D163" s="16" t="s">
        <v>506</v>
      </c>
      <c r="E163" s="2" t="s">
        <v>231</v>
      </c>
      <c r="F163" s="2" t="s">
        <v>542</v>
      </c>
      <c r="G163" s="2" t="s">
        <v>320</v>
      </c>
      <c r="H163" s="2" t="s">
        <v>783</v>
      </c>
      <c r="I163" s="5" t="s">
        <v>783</v>
      </c>
      <c r="J163" s="2" t="s">
        <v>783</v>
      </c>
      <c r="K163" s="2"/>
      <c r="L163" s="2" t="s">
        <v>783</v>
      </c>
      <c r="M163" s="27"/>
    </row>
    <row r="164" spans="1:13" customFormat="1" x14ac:dyDescent="0.3">
      <c r="A164" s="16" t="s">
        <v>431</v>
      </c>
      <c r="B164" s="16" t="s">
        <v>4</v>
      </c>
      <c r="C164" s="16" t="s">
        <v>430</v>
      </c>
      <c r="D164" s="16" t="s">
        <v>502</v>
      </c>
      <c r="E164" s="2" t="s">
        <v>231</v>
      </c>
      <c r="F164" s="2" t="s">
        <v>544</v>
      </c>
      <c r="G164" s="2" t="s">
        <v>319</v>
      </c>
      <c r="H164" s="2" t="s">
        <v>674</v>
      </c>
      <c r="I164" s="5" t="s">
        <v>4</v>
      </c>
      <c r="J164" s="2" t="s">
        <v>783</v>
      </c>
      <c r="K164" s="2" t="s">
        <v>497</v>
      </c>
      <c r="L164" s="2" t="s">
        <v>232</v>
      </c>
      <c r="M164" s="27"/>
    </row>
    <row r="165" spans="1:13" customFormat="1" x14ac:dyDescent="0.3">
      <c r="A165" s="16" t="s">
        <v>433</v>
      </c>
      <c r="B165" s="16" t="s">
        <v>4</v>
      </c>
      <c r="C165" s="16" t="s">
        <v>432</v>
      </c>
      <c r="D165" s="16" t="s">
        <v>508</v>
      </c>
      <c r="E165" s="2" t="s">
        <v>231</v>
      </c>
      <c r="F165" s="2" t="s">
        <v>545</v>
      </c>
      <c r="G165" s="2" t="s">
        <v>319</v>
      </c>
      <c r="H165" s="2" t="s">
        <v>675</v>
      </c>
      <c r="I165" s="5" t="s">
        <v>4</v>
      </c>
      <c r="J165" s="2" t="s">
        <v>783</v>
      </c>
      <c r="K165" s="2"/>
      <c r="L165" s="2" t="s">
        <v>232</v>
      </c>
      <c r="M165" s="27"/>
    </row>
    <row r="166" spans="1:13" customFormat="1" x14ac:dyDescent="0.3">
      <c r="A166" s="16" t="s">
        <v>437</v>
      </c>
      <c r="B166" s="16" t="s">
        <v>4</v>
      </c>
      <c r="C166" s="16" t="s">
        <v>436</v>
      </c>
      <c r="D166" s="16" t="s">
        <v>509</v>
      </c>
      <c r="E166" s="2" t="s">
        <v>231</v>
      </c>
      <c r="F166" s="2" t="s">
        <v>547</v>
      </c>
      <c r="G166" s="2" t="s">
        <v>319</v>
      </c>
      <c r="H166" s="2" t="s">
        <v>676</v>
      </c>
      <c r="I166" s="5" t="s">
        <v>4</v>
      </c>
      <c r="J166" s="2" t="s">
        <v>783</v>
      </c>
      <c r="K166" s="2" t="s">
        <v>497</v>
      </c>
      <c r="L166" s="2" t="s">
        <v>232</v>
      </c>
      <c r="M166" s="27"/>
    </row>
    <row r="167" spans="1:13" customFormat="1" x14ac:dyDescent="0.3">
      <c r="A167" s="16" t="s">
        <v>487</v>
      </c>
      <c r="B167" s="16" t="s">
        <v>4</v>
      </c>
      <c r="C167" s="16" t="s">
        <v>486</v>
      </c>
      <c r="D167" s="16"/>
      <c r="E167" s="2" t="s">
        <v>230</v>
      </c>
      <c r="F167" s="2" t="s">
        <v>567</v>
      </c>
      <c r="G167" s="2" t="s">
        <v>230</v>
      </c>
      <c r="H167" s="2" t="s">
        <v>783</v>
      </c>
      <c r="I167" s="2" t="s">
        <v>783</v>
      </c>
      <c r="J167" s="2" t="s">
        <v>783</v>
      </c>
      <c r="K167" s="2"/>
      <c r="L167" s="2" t="s">
        <v>783</v>
      </c>
      <c r="M167" s="27"/>
    </row>
    <row r="168" spans="1:13" customFormat="1" x14ac:dyDescent="0.3">
      <c r="A168" s="16" t="s">
        <v>393</v>
      </c>
      <c r="B168" s="16" t="s">
        <v>4</v>
      </c>
      <c r="C168" s="16" t="s">
        <v>706</v>
      </c>
      <c r="D168" s="16" t="s">
        <v>497</v>
      </c>
      <c r="E168" s="2" t="s">
        <v>232</v>
      </c>
      <c r="F168" s="2" t="s">
        <v>520</v>
      </c>
      <c r="G168" s="2" t="s">
        <v>783</v>
      </c>
      <c r="H168" s="2" t="s">
        <v>783</v>
      </c>
      <c r="I168" s="5" t="s">
        <v>783</v>
      </c>
      <c r="J168" s="2" t="s">
        <v>783</v>
      </c>
      <c r="K168" s="2"/>
      <c r="L168" s="2" t="s">
        <v>783</v>
      </c>
      <c r="M168" s="27"/>
    </row>
    <row r="169" spans="1:13" customFormat="1" x14ac:dyDescent="0.3">
      <c r="A169" s="16" t="s">
        <v>394</v>
      </c>
      <c r="B169" s="16" t="s">
        <v>4</v>
      </c>
      <c r="C169" s="16" t="s">
        <v>706</v>
      </c>
      <c r="D169" s="16" t="s">
        <v>497</v>
      </c>
      <c r="E169" s="2" t="s">
        <v>232</v>
      </c>
      <c r="F169" s="2" t="s">
        <v>521</v>
      </c>
      <c r="G169" s="2" t="s">
        <v>783</v>
      </c>
      <c r="H169" s="2" t="s">
        <v>783</v>
      </c>
      <c r="I169" s="2" t="s">
        <v>783</v>
      </c>
      <c r="J169" s="2" t="s">
        <v>783</v>
      </c>
      <c r="K169" s="2"/>
      <c r="L169" s="2" t="s">
        <v>783</v>
      </c>
      <c r="M169" s="27"/>
    </row>
    <row r="170" spans="1:13" customFormat="1" x14ac:dyDescent="0.3">
      <c r="A170" s="16" t="s">
        <v>396</v>
      </c>
      <c r="B170" s="16" t="s">
        <v>4</v>
      </c>
      <c r="C170" s="16" t="s">
        <v>395</v>
      </c>
      <c r="D170" s="16" t="s">
        <v>497</v>
      </c>
      <c r="E170" s="2" t="s">
        <v>232</v>
      </c>
      <c r="F170" s="2" t="s">
        <v>522</v>
      </c>
      <c r="G170" s="2" t="s">
        <v>783</v>
      </c>
      <c r="H170" s="2" t="s">
        <v>783</v>
      </c>
      <c r="I170" s="5" t="s">
        <v>783</v>
      </c>
      <c r="J170" s="2" t="s">
        <v>783</v>
      </c>
      <c r="K170" s="2"/>
      <c r="L170" s="2" t="s">
        <v>783</v>
      </c>
      <c r="M170" s="27"/>
    </row>
    <row r="171" spans="1:13" customFormat="1" x14ac:dyDescent="0.3">
      <c r="A171" s="16" t="s">
        <v>397</v>
      </c>
      <c r="B171" s="16" t="s">
        <v>4</v>
      </c>
      <c r="C171" s="16" t="s">
        <v>395</v>
      </c>
      <c r="D171" s="16" t="s">
        <v>497</v>
      </c>
      <c r="E171" s="2" t="s">
        <v>232</v>
      </c>
      <c r="F171" s="2" t="s">
        <v>523</v>
      </c>
      <c r="G171" s="2" t="s">
        <v>783</v>
      </c>
      <c r="H171" s="2" t="s">
        <v>783</v>
      </c>
      <c r="I171" s="5" t="s">
        <v>783</v>
      </c>
      <c r="J171" s="2" t="s">
        <v>783</v>
      </c>
      <c r="K171" s="2"/>
      <c r="L171" s="2" t="s">
        <v>783</v>
      </c>
      <c r="M171" s="27"/>
    </row>
    <row r="172" spans="1:13" customFormat="1" x14ac:dyDescent="0.3">
      <c r="A172" s="16" t="s">
        <v>398</v>
      </c>
      <c r="B172" s="16" t="s">
        <v>4</v>
      </c>
      <c r="C172" s="16" t="s">
        <v>395</v>
      </c>
      <c r="D172" s="16" t="s">
        <v>497</v>
      </c>
      <c r="E172" s="2" t="s">
        <v>232</v>
      </c>
      <c r="F172" s="2" t="s">
        <v>524</v>
      </c>
      <c r="G172" s="2" t="s">
        <v>783</v>
      </c>
      <c r="H172" s="2" t="s">
        <v>783</v>
      </c>
      <c r="I172" s="2" t="s">
        <v>783</v>
      </c>
      <c r="J172" s="2" t="s">
        <v>783</v>
      </c>
      <c r="K172" s="2"/>
      <c r="L172" s="2" t="s">
        <v>783</v>
      </c>
      <c r="M172" s="27"/>
    </row>
    <row r="173" spans="1:13" customFormat="1" x14ac:dyDescent="0.3">
      <c r="A173" s="16" t="s">
        <v>399</v>
      </c>
      <c r="B173" s="16" t="s">
        <v>4</v>
      </c>
      <c r="C173" s="16" t="s">
        <v>706</v>
      </c>
      <c r="D173" s="16" t="s">
        <v>497</v>
      </c>
      <c r="E173" s="2" t="s">
        <v>232</v>
      </c>
      <c r="F173" s="2" t="s">
        <v>525</v>
      </c>
      <c r="G173" s="2" t="s">
        <v>783</v>
      </c>
      <c r="H173" s="2" t="s">
        <v>783</v>
      </c>
      <c r="I173" s="2" t="s">
        <v>783</v>
      </c>
      <c r="J173" s="2" t="s">
        <v>783</v>
      </c>
      <c r="K173" s="2"/>
      <c r="L173" s="2" t="s">
        <v>783</v>
      </c>
      <c r="M173" s="27"/>
    </row>
    <row r="174" spans="1:13" customFormat="1" x14ac:dyDescent="0.3">
      <c r="A174" s="16" t="s">
        <v>406</v>
      </c>
      <c r="B174" s="16" t="s">
        <v>4</v>
      </c>
      <c r="C174" s="16" t="s">
        <v>405</v>
      </c>
      <c r="D174" s="16" t="s">
        <v>13</v>
      </c>
      <c r="E174" s="2" t="s">
        <v>232</v>
      </c>
      <c r="F174" s="2" t="s">
        <v>529</v>
      </c>
      <c r="G174" s="2" t="s">
        <v>783</v>
      </c>
      <c r="H174" s="2" t="s">
        <v>783</v>
      </c>
      <c r="I174" s="5" t="s">
        <v>783</v>
      </c>
      <c r="J174" s="2" t="s">
        <v>783</v>
      </c>
      <c r="K174" s="2"/>
      <c r="L174" s="2" t="s">
        <v>783</v>
      </c>
      <c r="M174" s="27"/>
    </row>
    <row r="175" spans="1:13" customFormat="1" x14ac:dyDescent="0.3">
      <c r="A175" s="16" t="s">
        <v>410</v>
      </c>
      <c r="B175" s="16" t="s">
        <v>4</v>
      </c>
      <c r="C175" s="16" t="s">
        <v>409</v>
      </c>
      <c r="D175" s="16" t="s">
        <v>13</v>
      </c>
      <c r="E175" s="2" t="s">
        <v>232</v>
      </c>
      <c r="F175" s="2" t="s">
        <v>531</v>
      </c>
      <c r="G175" s="2" t="s">
        <v>783</v>
      </c>
      <c r="H175" s="2" t="s">
        <v>783</v>
      </c>
      <c r="I175" s="2" t="s">
        <v>783</v>
      </c>
      <c r="J175" s="2" t="s">
        <v>783</v>
      </c>
      <c r="K175" s="2"/>
      <c r="L175" s="2" t="s">
        <v>783</v>
      </c>
      <c r="M175" s="27"/>
    </row>
    <row r="176" spans="1:13" customFormat="1" x14ac:dyDescent="0.3">
      <c r="A176" s="16" t="s">
        <v>258</v>
      </c>
      <c r="B176" s="16" t="s">
        <v>257</v>
      </c>
      <c r="C176" s="16" t="s">
        <v>256</v>
      </c>
      <c r="D176" s="16"/>
      <c r="E176" s="2" t="s">
        <v>230</v>
      </c>
      <c r="F176" s="2" t="s">
        <v>312</v>
      </c>
      <c r="G176" s="2" t="s">
        <v>230</v>
      </c>
      <c r="H176" s="2" t="s">
        <v>783</v>
      </c>
      <c r="I176" s="5" t="s">
        <v>783</v>
      </c>
      <c r="J176" s="2" t="s">
        <v>783</v>
      </c>
      <c r="K176" s="2"/>
      <c r="L176" s="2" t="s">
        <v>783</v>
      </c>
      <c r="M176" s="27"/>
    </row>
    <row r="177" spans="1:13" customFormat="1" x14ac:dyDescent="0.3">
      <c r="A177" s="16" t="s">
        <v>490</v>
      </c>
      <c r="B177" s="16" t="s">
        <v>377</v>
      </c>
      <c r="C177" s="16" t="s">
        <v>489</v>
      </c>
      <c r="D177" s="16"/>
      <c r="E177" s="2" t="s">
        <v>230</v>
      </c>
      <c r="F177" s="2"/>
      <c r="G177" s="2" t="s">
        <v>230</v>
      </c>
      <c r="H177" s="2" t="s">
        <v>783</v>
      </c>
      <c r="I177" s="2" t="s">
        <v>783</v>
      </c>
      <c r="J177" s="2" t="s">
        <v>783</v>
      </c>
      <c r="K177" s="2"/>
      <c r="L177" s="2" t="s">
        <v>783</v>
      </c>
      <c r="M177" s="27"/>
    </row>
    <row r="178" spans="1:13" customFormat="1" x14ac:dyDescent="0.3">
      <c r="A178" s="16" t="s">
        <v>402</v>
      </c>
      <c r="B178" s="16" t="s">
        <v>229</v>
      </c>
      <c r="C178" s="16" t="s">
        <v>401</v>
      </c>
      <c r="D178" s="16" t="s">
        <v>32</v>
      </c>
      <c r="E178" s="2" t="s">
        <v>232</v>
      </c>
      <c r="F178" s="2" t="s">
        <v>527</v>
      </c>
      <c r="G178" s="2" t="s">
        <v>783</v>
      </c>
      <c r="H178" s="2" t="s">
        <v>783</v>
      </c>
      <c r="I178" s="5" t="s">
        <v>783</v>
      </c>
      <c r="J178" s="2" t="s">
        <v>783</v>
      </c>
      <c r="K178" s="2"/>
      <c r="L178" s="2" t="s">
        <v>783</v>
      </c>
      <c r="M178" s="27"/>
    </row>
    <row r="179" spans="1:13" customFormat="1" x14ac:dyDescent="0.3">
      <c r="A179" s="16" t="s">
        <v>30</v>
      </c>
      <c r="B179" s="16" t="s">
        <v>229</v>
      </c>
      <c r="C179" s="16" t="s">
        <v>93</v>
      </c>
      <c r="D179" s="16" t="s">
        <v>28</v>
      </c>
      <c r="E179" s="2" t="s">
        <v>231</v>
      </c>
      <c r="F179" s="2"/>
      <c r="G179" s="2" t="s">
        <v>319</v>
      </c>
      <c r="H179" s="2" t="s">
        <v>327</v>
      </c>
      <c r="I179" s="5" t="s">
        <v>229</v>
      </c>
      <c r="J179" s="2" t="s">
        <v>783</v>
      </c>
      <c r="K179" s="2" t="s">
        <v>342</v>
      </c>
      <c r="L179" s="2" t="s">
        <v>232</v>
      </c>
      <c r="M179" s="27" t="s">
        <v>347</v>
      </c>
    </row>
    <row r="180" spans="1:13" customFormat="1" x14ac:dyDescent="0.3">
      <c r="A180" s="16" t="s">
        <v>95</v>
      </c>
      <c r="B180" s="16" t="s">
        <v>229</v>
      </c>
      <c r="C180" s="16" t="s">
        <v>94</v>
      </c>
      <c r="D180" s="16" t="s">
        <v>113</v>
      </c>
      <c r="E180" s="2" t="s">
        <v>231</v>
      </c>
      <c r="F180" s="2" t="s">
        <v>196</v>
      </c>
      <c r="G180" s="2" t="s">
        <v>319</v>
      </c>
      <c r="H180" s="2" t="s">
        <v>682</v>
      </c>
      <c r="I180" s="5" t="s">
        <v>229</v>
      </c>
      <c r="J180" s="2" t="s">
        <v>783</v>
      </c>
      <c r="K180" s="2"/>
      <c r="L180" s="2" t="s">
        <v>232</v>
      </c>
      <c r="M180" s="27"/>
    </row>
    <row r="181" spans="1:13" customFormat="1" x14ac:dyDescent="0.3">
      <c r="A181" s="16" t="s">
        <v>238</v>
      </c>
      <c r="B181" s="16" t="s">
        <v>229</v>
      </c>
      <c r="C181" s="16" t="s">
        <v>237</v>
      </c>
      <c r="D181" s="16" t="s">
        <v>283</v>
      </c>
      <c r="E181" s="2" t="s">
        <v>231</v>
      </c>
      <c r="F181" s="2" t="s">
        <v>305</v>
      </c>
      <c r="G181" s="2" t="s">
        <v>319</v>
      </c>
      <c r="H181" s="2" t="s">
        <v>660</v>
      </c>
      <c r="I181" s="5" t="s">
        <v>229</v>
      </c>
      <c r="J181" s="2" t="s">
        <v>783</v>
      </c>
      <c r="K181" s="2"/>
      <c r="L181" s="2" t="s">
        <v>232</v>
      </c>
      <c r="M181" s="27"/>
    </row>
    <row r="182" spans="1:13" customFormat="1" x14ac:dyDescent="0.3">
      <c r="A182" s="16" t="s">
        <v>240</v>
      </c>
      <c r="B182" s="16" t="s">
        <v>229</v>
      </c>
      <c r="C182" s="16" t="s">
        <v>239</v>
      </c>
      <c r="D182" s="16" t="s">
        <v>284</v>
      </c>
      <c r="E182" s="2" t="s">
        <v>231</v>
      </c>
      <c r="F182" s="2" t="s">
        <v>306</v>
      </c>
      <c r="G182" s="2" t="s">
        <v>319</v>
      </c>
      <c r="H182" s="2" t="s">
        <v>661</v>
      </c>
      <c r="I182" s="5" t="s">
        <v>229</v>
      </c>
      <c r="J182" s="2" t="s">
        <v>783</v>
      </c>
      <c r="K182" s="2"/>
      <c r="L182" s="2" t="s">
        <v>232</v>
      </c>
      <c r="M182" s="27"/>
    </row>
    <row r="183" spans="1:13" customFormat="1" x14ac:dyDescent="0.3">
      <c r="A183" s="16" t="s">
        <v>242</v>
      </c>
      <c r="B183" s="16" t="s">
        <v>229</v>
      </c>
      <c r="C183" s="16" t="s">
        <v>241</v>
      </c>
      <c r="D183" s="16" t="s">
        <v>285</v>
      </c>
      <c r="E183" s="2" t="s">
        <v>231</v>
      </c>
      <c r="F183" s="2" t="s">
        <v>307</v>
      </c>
      <c r="G183" s="2" t="s">
        <v>319</v>
      </c>
      <c r="H183" s="2" t="s">
        <v>662</v>
      </c>
      <c r="I183" s="5" t="s">
        <v>229</v>
      </c>
      <c r="J183" s="2" t="s">
        <v>783</v>
      </c>
      <c r="K183" s="2"/>
      <c r="L183" s="2" t="s">
        <v>232</v>
      </c>
      <c r="M183" s="27"/>
    </row>
    <row r="184" spans="1:13" customFormat="1" x14ac:dyDescent="0.3">
      <c r="A184" s="16" t="s">
        <v>438</v>
      </c>
      <c r="B184" s="16" t="s">
        <v>229</v>
      </c>
      <c r="C184" s="16" t="s">
        <v>707</v>
      </c>
      <c r="D184" s="16" t="s">
        <v>510</v>
      </c>
      <c r="E184" s="2" t="s">
        <v>231</v>
      </c>
      <c r="F184" s="2" t="s">
        <v>548</v>
      </c>
      <c r="G184" s="2" t="s">
        <v>320</v>
      </c>
      <c r="H184" s="2" t="s">
        <v>783</v>
      </c>
      <c r="I184" s="5" t="s">
        <v>783</v>
      </c>
      <c r="J184" s="2" t="s">
        <v>783</v>
      </c>
      <c r="K184" s="2"/>
      <c r="L184" s="2" t="s">
        <v>783</v>
      </c>
      <c r="M184" s="27"/>
    </row>
    <row r="185" spans="1:13" customFormat="1" x14ac:dyDescent="0.3">
      <c r="A185" s="16" t="s">
        <v>439</v>
      </c>
      <c r="B185" s="16" t="s">
        <v>229</v>
      </c>
      <c r="C185" s="16" t="s">
        <v>708</v>
      </c>
      <c r="D185" s="16" t="s">
        <v>511</v>
      </c>
      <c r="E185" s="2" t="s">
        <v>231</v>
      </c>
      <c r="F185" s="2" t="s">
        <v>549</v>
      </c>
      <c r="G185" s="2" t="s">
        <v>320</v>
      </c>
      <c r="H185" s="2" t="s">
        <v>783</v>
      </c>
      <c r="I185" s="2" t="s">
        <v>783</v>
      </c>
      <c r="J185" s="2" t="s">
        <v>783</v>
      </c>
      <c r="K185" s="2"/>
      <c r="L185" s="2" t="s">
        <v>783</v>
      </c>
      <c r="M185" s="27"/>
    </row>
    <row r="186" spans="1:13" customFormat="1" x14ac:dyDescent="0.3">
      <c r="A186" s="16" t="s">
        <v>441</v>
      </c>
      <c r="B186" s="16" t="s">
        <v>229</v>
      </c>
      <c r="C186" s="16" t="s">
        <v>440</v>
      </c>
      <c r="D186" s="16" t="s">
        <v>28</v>
      </c>
      <c r="E186" s="2" t="s">
        <v>231</v>
      </c>
      <c r="F186" s="2"/>
      <c r="G186" s="2" t="s">
        <v>319</v>
      </c>
      <c r="H186" s="2" t="s">
        <v>683</v>
      </c>
      <c r="I186" s="2" t="s">
        <v>229</v>
      </c>
      <c r="J186" s="2" t="s">
        <v>783</v>
      </c>
      <c r="K186" s="2"/>
      <c r="L186" s="2" t="s">
        <v>232</v>
      </c>
      <c r="M186" s="27"/>
    </row>
    <row r="187" spans="1:13" customFormat="1" x14ac:dyDescent="0.3">
      <c r="A187" s="16" t="s">
        <v>443</v>
      </c>
      <c r="B187" s="16" t="s">
        <v>229</v>
      </c>
      <c r="C187" s="16" t="s">
        <v>442</v>
      </c>
      <c r="D187" s="16" t="s">
        <v>28</v>
      </c>
      <c r="E187" s="2" t="s">
        <v>231</v>
      </c>
      <c r="F187" s="2"/>
      <c r="G187" s="2" t="s">
        <v>319</v>
      </c>
      <c r="H187" s="2" t="s">
        <v>684</v>
      </c>
      <c r="I187" s="2" t="s">
        <v>229</v>
      </c>
      <c r="J187" s="2" t="s">
        <v>783</v>
      </c>
      <c r="K187" s="2"/>
      <c r="L187" s="2" t="s">
        <v>232</v>
      </c>
      <c r="M187" s="27"/>
    </row>
    <row r="188" spans="1:13" customFormat="1" x14ac:dyDescent="0.3">
      <c r="A188" s="16" t="s">
        <v>100</v>
      </c>
      <c r="B188" s="16" t="s">
        <v>229</v>
      </c>
      <c r="C188" s="16" t="s">
        <v>99</v>
      </c>
      <c r="D188" s="16"/>
      <c r="E188" s="2" t="s">
        <v>230</v>
      </c>
      <c r="F188" s="2"/>
      <c r="G188" s="2" t="s">
        <v>783</v>
      </c>
      <c r="H188" s="2" t="s">
        <v>783</v>
      </c>
      <c r="I188" s="5" t="s">
        <v>783</v>
      </c>
      <c r="J188" s="2" t="s">
        <v>783</v>
      </c>
      <c r="K188" s="2"/>
      <c r="L188" s="2" t="s">
        <v>783</v>
      </c>
      <c r="M188" s="27"/>
    </row>
    <row r="189" spans="1:13" customFormat="1" x14ac:dyDescent="0.3">
      <c r="A189" s="16" t="s">
        <v>45</v>
      </c>
      <c r="B189" s="16" t="s">
        <v>229</v>
      </c>
      <c r="C189" s="16" t="s">
        <v>709</v>
      </c>
      <c r="D189" s="16" t="s">
        <v>32</v>
      </c>
      <c r="E189" s="2" t="s">
        <v>232</v>
      </c>
      <c r="F189" s="2" t="s">
        <v>215</v>
      </c>
      <c r="G189" s="2" t="s">
        <v>783</v>
      </c>
      <c r="H189" s="2" t="s">
        <v>783</v>
      </c>
      <c r="I189" s="2" t="s">
        <v>783</v>
      </c>
      <c r="J189" s="2" t="s">
        <v>783</v>
      </c>
      <c r="K189" s="2"/>
      <c r="L189" s="2" t="s">
        <v>783</v>
      </c>
      <c r="M189" s="27"/>
    </row>
    <row r="190" spans="1:13" customFormat="1" x14ac:dyDescent="0.3">
      <c r="A190" s="16" t="s">
        <v>156</v>
      </c>
      <c r="B190" s="16" t="s">
        <v>229</v>
      </c>
      <c r="C190" s="16" t="s">
        <v>710</v>
      </c>
      <c r="D190" s="16" t="s">
        <v>32</v>
      </c>
      <c r="E190" s="2" t="s">
        <v>232</v>
      </c>
      <c r="F190" s="2" t="s">
        <v>216</v>
      </c>
      <c r="G190" s="2" t="s">
        <v>783</v>
      </c>
      <c r="H190" s="2" t="s">
        <v>783</v>
      </c>
      <c r="I190" s="5" t="s">
        <v>783</v>
      </c>
      <c r="J190" s="2" t="s">
        <v>783</v>
      </c>
      <c r="K190" s="2"/>
      <c r="L190" s="2" t="s">
        <v>783</v>
      </c>
      <c r="M190" s="27"/>
    </row>
    <row r="191" spans="1:13" customFormat="1" x14ac:dyDescent="0.3">
      <c r="A191" s="16" t="s">
        <v>157</v>
      </c>
      <c r="B191" s="16" t="s">
        <v>229</v>
      </c>
      <c r="C191" s="16" t="s">
        <v>711</v>
      </c>
      <c r="D191" s="16" t="s">
        <v>32</v>
      </c>
      <c r="E191" s="2" t="s">
        <v>232</v>
      </c>
      <c r="F191" s="2" t="s">
        <v>217</v>
      </c>
      <c r="G191" s="2" t="s">
        <v>783</v>
      </c>
      <c r="H191" s="2" t="s">
        <v>783</v>
      </c>
      <c r="I191" s="2" t="s">
        <v>783</v>
      </c>
      <c r="J191" s="2" t="s">
        <v>783</v>
      </c>
      <c r="K191" s="2"/>
      <c r="L191" s="2" t="s">
        <v>783</v>
      </c>
      <c r="M191" s="27"/>
    </row>
    <row r="192" spans="1:13" customFormat="1" x14ac:dyDescent="0.3">
      <c r="A192" s="16" t="s">
        <v>158</v>
      </c>
      <c r="B192" s="16" t="s">
        <v>229</v>
      </c>
      <c r="C192" s="16" t="s">
        <v>150</v>
      </c>
      <c r="D192" s="16" t="s">
        <v>32</v>
      </c>
      <c r="E192" s="2" t="s">
        <v>232</v>
      </c>
      <c r="F192" s="2" t="s">
        <v>218</v>
      </c>
      <c r="G192" s="2" t="s">
        <v>783</v>
      </c>
      <c r="H192" s="2" t="s">
        <v>783</v>
      </c>
      <c r="I192" s="2" t="s">
        <v>783</v>
      </c>
      <c r="J192" s="2" t="s">
        <v>783</v>
      </c>
      <c r="K192" s="2"/>
      <c r="L192" s="2" t="s">
        <v>783</v>
      </c>
      <c r="M192" s="27"/>
    </row>
    <row r="193" spans="1:13" customFormat="1" x14ac:dyDescent="0.3">
      <c r="A193" s="16" t="s">
        <v>31</v>
      </c>
      <c r="B193" s="16" t="s">
        <v>229</v>
      </c>
      <c r="C193" s="16" t="s">
        <v>96</v>
      </c>
      <c r="D193" s="16" t="s">
        <v>32</v>
      </c>
      <c r="E193" s="2" t="s">
        <v>232</v>
      </c>
      <c r="F193" s="2" t="s">
        <v>197</v>
      </c>
      <c r="G193" s="2" t="s">
        <v>783</v>
      </c>
      <c r="H193" s="2" t="s">
        <v>783</v>
      </c>
      <c r="I193" s="5" t="s">
        <v>783</v>
      </c>
      <c r="J193" s="2" t="s">
        <v>783</v>
      </c>
      <c r="K193" s="2"/>
      <c r="L193" s="2" t="s">
        <v>783</v>
      </c>
      <c r="M193" s="27"/>
    </row>
    <row r="194" spans="1:13" customFormat="1" x14ac:dyDescent="0.3">
      <c r="A194" s="16" t="s">
        <v>445</v>
      </c>
      <c r="B194" s="16" t="s">
        <v>229</v>
      </c>
      <c r="C194" s="16" t="s">
        <v>444</v>
      </c>
      <c r="D194" s="16" t="s">
        <v>32</v>
      </c>
      <c r="E194" s="2" t="s">
        <v>232</v>
      </c>
      <c r="F194" s="2" t="s">
        <v>550</v>
      </c>
      <c r="G194" s="2" t="s">
        <v>783</v>
      </c>
      <c r="H194" s="2" t="s">
        <v>783</v>
      </c>
      <c r="I194" s="2" t="s">
        <v>783</v>
      </c>
      <c r="J194" s="2" t="s">
        <v>783</v>
      </c>
      <c r="K194" s="2"/>
      <c r="L194" s="2" t="s">
        <v>783</v>
      </c>
      <c r="M194" s="27"/>
    </row>
    <row r="195" spans="1:13" customFormat="1" x14ac:dyDescent="0.3">
      <c r="A195" s="16" t="s">
        <v>447</v>
      </c>
      <c r="B195" s="16" t="s">
        <v>229</v>
      </c>
      <c r="C195" s="16" t="s">
        <v>446</v>
      </c>
      <c r="D195" s="16" t="s">
        <v>32</v>
      </c>
      <c r="E195" s="2" t="s">
        <v>232</v>
      </c>
      <c r="F195" s="2" t="s">
        <v>551</v>
      </c>
      <c r="G195" s="2" t="s">
        <v>783</v>
      </c>
      <c r="H195" s="2" t="s">
        <v>783</v>
      </c>
      <c r="I195" s="2" t="s">
        <v>783</v>
      </c>
      <c r="J195" s="2" t="s">
        <v>783</v>
      </c>
      <c r="K195" s="2"/>
      <c r="L195" s="2" t="s">
        <v>783</v>
      </c>
      <c r="M195" s="27"/>
    </row>
    <row r="196" spans="1:13" customFormat="1" x14ac:dyDescent="0.3">
      <c r="A196" s="16" t="s">
        <v>449</v>
      </c>
      <c r="B196" s="16" t="s">
        <v>229</v>
      </c>
      <c r="C196" s="16" t="s">
        <v>448</v>
      </c>
      <c r="D196" s="16" t="s">
        <v>32</v>
      </c>
      <c r="E196" s="2" t="s">
        <v>232</v>
      </c>
      <c r="F196" s="2" t="s">
        <v>552</v>
      </c>
      <c r="G196" s="2" t="s">
        <v>783</v>
      </c>
      <c r="H196" s="2" t="s">
        <v>783</v>
      </c>
      <c r="I196" s="5" t="s">
        <v>783</v>
      </c>
      <c r="J196" s="2" t="s">
        <v>783</v>
      </c>
      <c r="K196" s="2"/>
      <c r="L196" s="2" t="s">
        <v>783</v>
      </c>
      <c r="M196" s="27"/>
    </row>
    <row r="197" spans="1:13" customFormat="1" x14ac:dyDescent="0.3">
      <c r="A197" s="16" t="s">
        <v>451</v>
      </c>
      <c r="B197" s="16" t="s">
        <v>229</v>
      </c>
      <c r="C197" s="16" t="s">
        <v>450</v>
      </c>
      <c r="D197" s="16" t="s">
        <v>32</v>
      </c>
      <c r="E197" s="2" t="s">
        <v>232</v>
      </c>
      <c r="F197" s="2" t="s">
        <v>553</v>
      </c>
      <c r="G197" s="2" t="s">
        <v>783</v>
      </c>
      <c r="H197" s="2" t="s">
        <v>783</v>
      </c>
      <c r="I197" s="5" t="s">
        <v>783</v>
      </c>
      <c r="J197" s="2" t="s">
        <v>783</v>
      </c>
      <c r="K197" s="2"/>
      <c r="L197" s="2" t="s">
        <v>783</v>
      </c>
      <c r="M197" s="27"/>
    </row>
    <row r="198" spans="1:13" customFormat="1" x14ac:dyDescent="0.3">
      <c r="A198" s="16" t="s">
        <v>597</v>
      </c>
      <c r="B198" s="16" t="s">
        <v>596</v>
      </c>
      <c r="C198" s="16" t="s">
        <v>595</v>
      </c>
      <c r="D198" s="16"/>
      <c r="E198" s="2" t="s">
        <v>230</v>
      </c>
      <c r="F198" s="2"/>
      <c r="G198" s="2" t="s">
        <v>230</v>
      </c>
      <c r="H198" s="2" t="s">
        <v>783</v>
      </c>
      <c r="I198" s="5" t="s">
        <v>783</v>
      </c>
      <c r="J198" s="2" t="s">
        <v>783</v>
      </c>
      <c r="K198" s="2"/>
      <c r="L198" s="2" t="s">
        <v>783</v>
      </c>
      <c r="M198" s="27"/>
    </row>
    <row r="199" spans="1:13" customFormat="1" x14ac:dyDescent="0.3">
      <c r="A199" s="16" t="s">
        <v>470</v>
      </c>
      <c r="B199" s="16" t="s">
        <v>378</v>
      </c>
      <c r="C199" s="16" t="s">
        <v>70</v>
      </c>
      <c r="D199" s="16" t="s">
        <v>28</v>
      </c>
      <c r="E199" s="2" t="s">
        <v>230</v>
      </c>
      <c r="F199" s="2"/>
      <c r="G199" s="2" t="s">
        <v>230</v>
      </c>
      <c r="H199" s="2" t="s">
        <v>783</v>
      </c>
      <c r="I199" s="5" t="s">
        <v>783</v>
      </c>
      <c r="J199" s="2" t="s">
        <v>783</v>
      </c>
      <c r="K199" s="2"/>
      <c r="L199" s="2" t="s">
        <v>783</v>
      </c>
      <c r="M199" s="27"/>
    </row>
    <row r="200" spans="1:13" customFormat="1" x14ac:dyDescent="0.3">
      <c r="A200" s="16" t="s">
        <v>586</v>
      </c>
      <c r="B200" s="16" t="s">
        <v>585</v>
      </c>
      <c r="C200" s="16" t="s">
        <v>584</v>
      </c>
      <c r="D200" s="16" t="s">
        <v>13</v>
      </c>
      <c r="E200" s="2" t="s">
        <v>232</v>
      </c>
      <c r="F200" s="2" t="s">
        <v>615</v>
      </c>
      <c r="G200" s="2" t="s">
        <v>783</v>
      </c>
      <c r="H200" s="2" t="s">
        <v>783</v>
      </c>
      <c r="I200" s="2" t="s">
        <v>783</v>
      </c>
      <c r="J200" s="2" t="s">
        <v>783</v>
      </c>
      <c r="K200" s="2"/>
      <c r="L200" s="2" t="s">
        <v>783</v>
      </c>
      <c r="M200" s="27"/>
    </row>
    <row r="201" spans="1:13" customFormat="1" x14ac:dyDescent="0.3">
      <c r="A201" s="16" t="s">
        <v>300</v>
      </c>
      <c r="B201" s="16" t="s">
        <v>299</v>
      </c>
      <c r="C201" s="16" t="s">
        <v>298</v>
      </c>
      <c r="D201" s="16" t="s">
        <v>28</v>
      </c>
      <c r="E201" s="2" t="s">
        <v>230</v>
      </c>
      <c r="F201" s="2"/>
      <c r="G201" s="2" t="s">
        <v>230</v>
      </c>
      <c r="H201" s="2" t="s">
        <v>783</v>
      </c>
      <c r="I201" s="18" t="s">
        <v>783</v>
      </c>
      <c r="J201" s="2" t="s">
        <v>783</v>
      </c>
      <c r="K201" s="2"/>
      <c r="L201" s="2" t="s">
        <v>783</v>
      </c>
      <c r="M201" s="27"/>
    </row>
    <row r="202" spans="1:13" customFormat="1" x14ac:dyDescent="0.3">
      <c r="A202" s="16" t="s">
        <v>184</v>
      </c>
      <c r="B202" s="16" t="s">
        <v>183</v>
      </c>
      <c r="C202" s="16" t="s">
        <v>182</v>
      </c>
      <c r="D202" s="16" t="s">
        <v>103</v>
      </c>
      <c r="E202" s="2" t="s">
        <v>232</v>
      </c>
      <c r="F202" s="2" t="s">
        <v>228</v>
      </c>
      <c r="G202" s="2" t="s">
        <v>783</v>
      </c>
      <c r="H202" s="2" t="s">
        <v>783</v>
      </c>
      <c r="I202" s="18" t="s">
        <v>783</v>
      </c>
      <c r="J202" s="2" t="s">
        <v>783</v>
      </c>
      <c r="K202" s="2"/>
      <c r="L202" s="2" t="s">
        <v>783</v>
      </c>
      <c r="M202" s="27"/>
    </row>
    <row r="203" spans="1:13" customFormat="1" x14ac:dyDescent="0.3">
      <c r="A203" s="22" t="s">
        <v>386</v>
      </c>
      <c r="B203" s="16" t="s">
        <v>4</v>
      </c>
      <c r="C203" s="16" t="s">
        <v>385</v>
      </c>
      <c r="D203" s="16" t="s">
        <v>732</v>
      </c>
      <c r="E203" s="2" t="s">
        <v>231</v>
      </c>
      <c r="F203" s="2" t="s">
        <v>516</v>
      </c>
      <c r="G203" s="2" t="s">
        <v>319</v>
      </c>
      <c r="H203" s="21" t="s">
        <v>333</v>
      </c>
      <c r="I203" s="2" t="s">
        <v>4</v>
      </c>
      <c r="J203" s="2" t="s">
        <v>783</v>
      </c>
      <c r="K203" s="2" t="s">
        <v>733</v>
      </c>
      <c r="L203" s="2" t="s">
        <v>61</v>
      </c>
      <c r="M203" s="27" t="s">
        <v>345</v>
      </c>
    </row>
    <row r="204" spans="1:13" customFormat="1" x14ac:dyDescent="0.3">
      <c r="A204" s="15"/>
      <c r="M204" s="27"/>
    </row>
    <row r="205" spans="1:13" customFormat="1" x14ac:dyDescent="0.3">
      <c r="A205" s="15"/>
      <c r="M205" s="27"/>
    </row>
    <row r="206" spans="1:13" customFormat="1" x14ac:dyDescent="0.3">
      <c r="A206" s="15"/>
      <c r="M206" s="27"/>
    </row>
    <row r="207" spans="1:13" customFormat="1" x14ac:dyDescent="0.3">
      <c r="A207" s="15"/>
      <c r="M207" s="27"/>
    </row>
    <row r="208" spans="1:13" x14ac:dyDescent="0.3">
      <c r="A208" s="15"/>
      <c r="B208"/>
      <c r="C208"/>
      <c r="D208"/>
      <c r="E208"/>
      <c r="F208"/>
      <c r="G208"/>
      <c r="H208"/>
      <c r="I208"/>
      <c r="J208"/>
      <c r="K208"/>
    </row>
    <row r="209" spans="1:11" x14ac:dyDescent="0.3">
      <c r="A209" s="15"/>
      <c r="B209"/>
      <c r="C209"/>
      <c r="D209"/>
      <c r="E209"/>
      <c r="F209"/>
      <c r="G209"/>
      <c r="H209"/>
      <c r="I209"/>
      <c r="J209"/>
      <c r="K209"/>
    </row>
    <row r="210" spans="1:11" x14ac:dyDescent="0.3">
      <c r="A210" s="15"/>
      <c r="B210"/>
      <c r="C210"/>
      <c r="D210"/>
      <c r="E210"/>
      <c r="F210"/>
      <c r="G210"/>
      <c r="H210"/>
      <c r="I210"/>
      <c r="J210"/>
      <c r="K210"/>
    </row>
    <row r="211" spans="1:11" x14ac:dyDescent="0.3">
      <c r="I211"/>
    </row>
    <row r="212" spans="1:11" x14ac:dyDescent="0.3">
      <c r="I212"/>
    </row>
    <row r="213" spans="1:11" x14ac:dyDescent="0.3">
      <c r="I213"/>
    </row>
    <row r="214" spans="1:11" x14ac:dyDescent="0.3">
      <c r="I214"/>
    </row>
    <row r="215" spans="1:11" x14ac:dyDescent="0.3">
      <c r="I215"/>
    </row>
    <row r="216" spans="1:11" x14ac:dyDescent="0.3">
      <c r="I216"/>
    </row>
    <row r="217" spans="1:11" x14ac:dyDescent="0.3">
      <c r="I217"/>
    </row>
    <row r="218" spans="1:11" x14ac:dyDescent="0.3">
      <c r="I218"/>
    </row>
    <row r="219" spans="1:11" x14ac:dyDescent="0.3">
      <c r="I219"/>
    </row>
    <row r="220" spans="1:11" x14ac:dyDescent="0.3">
      <c r="I220"/>
    </row>
    <row r="221" spans="1:11" x14ac:dyDescent="0.3">
      <c r="I221"/>
    </row>
    <row r="222" spans="1:11" x14ac:dyDescent="0.3">
      <c r="I222"/>
    </row>
    <row r="223" spans="1:11" x14ac:dyDescent="0.3">
      <c r="I223"/>
    </row>
    <row r="224" spans="1:11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/>
    </row>
    <row r="255" spans="9:9" x14ac:dyDescent="0.3">
      <c r="I255"/>
    </row>
    <row r="256" spans="9:9" x14ac:dyDescent="0.3">
      <c r="I256"/>
    </row>
    <row r="257" spans="9:9" x14ac:dyDescent="0.3">
      <c r="I257"/>
    </row>
    <row r="258" spans="9:9" x14ac:dyDescent="0.3">
      <c r="I258"/>
    </row>
    <row r="259" spans="9:9" x14ac:dyDescent="0.3">
      <c r="I259"/>
    </row>
    <row r="260" spans="9:9" x14ac:dyDescent="0.3">
      <c r="I260"/>
    </row>
    <row r="261" spans="9:9" x14ac:dyDescent="0.3">
      <c r="I261"/>
    </row>
    <row r="262" spans="9:9" x14ac:dyDescent="0.3">
      <c r="I262"/>
    </row>
    <row r="263" spans="9:9" x14ac:dyDescent="0.3">
      <c r="I263"/>
    </row>
    <row r="264" spans="9:9" x14ac:dyDescent="0.3">
      <c r="I264"/>
    </row>
    <row r="265" spans="9:9" x14ac:dyDescent="0.3">
      <c r="I265"/>
    </row>
    <row r="266" spans="9:9" x14ac:dyDescent="0.3">
      <c r="I266"/>
    </row>
    <row r="267" spans="9:9" x14ac:dyDescent="0.3">
      <c r="I267"/>
    </row>
    <row r="268" spans="9:9" x14ac:dyDescent="0.3">
      <c r="I268"/>
    </row>
    <row r="269" spans="9:9" x14ac:dyDescent="0.3">
      <c r="I269"/>
    </row>
    <row r="270" spans="9:9" x14ac:dyDescent="0.3">
      <c r="I270"/>
    </row>
    <row r="271" spans="9:9" x14ac:dyDescent="0.3">
      <c r="I271"/>
    </row>
    <row r="272" spans="9:9" x14ac:dyDescent="0.3">
      <c r="I272"/>
    </row>
    <row r="273" spans="9:9" x14ac:dyDescent="0.3">
      <c r="I273"/>
    </row>
    <row r="274" spans="9:9" x14ac:dyDescent="0.3">
      <c r="I274"/>
    </row>
    <row r="275" spans="9:9" x14ac:dyDescent="0.3">
      <c r="I275"/>
    </row>
    <row r="276" spans="9:9" x14ac:dyDescent="0.3">
      <c r="I276"/>
    </row>
    <row r="277" spans="9:9" x14ac:dyDescent="0.3">
      <c r="I277"/>
    </row>
  </sheetData>
  <conditionalFormatting sqref="E1:F1 L1 L27:L203 E27:F203">
    <cfRule type="containsText" dxfId="24" priority="16" operator="containsText" text="RECHANGE">
      <formula>NOT(ISERROR(SEARCH("RECHANGE",E1)))</formula>
    </cfRule>
    <cfRule type="containsText" dxfId="23" priority="17" operator="containsText" text="ACTIF">
      <formula>NOT(ISERROR(SEARCH("ACTIF",E1)))</formula>
    </cfRule>
    <cfRule type="containsText" dxfId="22" priority="18" operator="containsText" text="PHASE OUT">
      <formula>NOT(ISERROR(SEARCH("PHASE OUT",E1)))</formula>
    </cfRule>
    <cfRule type="containsText" dxfId="21" priority="19" operator="containsText" text="INCONNU">
      <formula>NOT(ISERROR(SEARCH("INCONNU",E1)))</formula>
    </cfRule>
    <cfRule type="containsText" dxfId="20" priority="20" operator="containsText" text="OBSOLETE">
      <formula>NOT(ISERROR(SEARCH("OBSOLETE",E1)))</formula>
    </cfRule>
  </conditionalFormatting>
  <conditionalFormatting sqref="E2:F26 L2:L26">
    <cfRule type="containsText" dxfId="19" priority="11" operator="containsText" text="RECHANGE">
      <formula>NOT(ISERROR(SEARCH("RECHANGE",E2)))</formula>
    </cfRule>
    <cfRule type="containsText" dxfId="18" priority="12" operator="containsText" text="ACTIF">
      <formula>NOT(ISERROR(SEARCH("ACTIF",E2)))</formula>
    </cfRule>
    <cfRule type="containsText" dxfId="17" priority="13" operator="containsText" text="PHASE OUT">
      <formula>NOT(ISERROR(SEARCH("PHASE OUT",E2)))</formula>
    </cfRule>
    <cfRule type="containsText" dxfId="16" priority="14" operator="containsText" text="INCONNU">
      <formula>NOT(ISERROR(SEARCH("INCONNU",E2)))</formula>
    </cfRule>
    <cfRule type="containsText" dxfId="15" priority="15" operator="containsText" text="OBSOLETE">
      <formula>NOT(ISERROR(SEARCH("OBSOLETE",E2)))</formula>
    </cfRule>
  </conditionalFormatting>
  <conditionalFormatting sqref="M1">
    <cfRule type="containsText" dxfId="14" priority="1" operator="containsText" text="RECHANGE">
      <formula>NOT(ISERROR(SEARCH("RECHANGE",M1)))</formula>
    </cfRule>
    <cfRule type="containsText" dxfId="13" priority="2" operator="containsText" text="ACTIF">
      <formula>NOT(ISERROR(SEARCH("ACTIF",M1)))</formula>
    </cfRule>
    <cfRule type="containsText" dxfId="12" priority="3" operator="containsText" text="PHASE OUT">
      <formula>NOT(ISERROR(SEARCH("PHASE OUT",M1)))</formula>
    </cfRule>
    <cfRule type="containsText" dxfId="11" priority="4" operator="containsText" text="INCONNU">
      <formula>NOT(ISERROR(SEARCH("INCONNU",M1)))</formula>
    </cfRule>
    <cfRule type="containsText" dxfId="10" priority="5" operator="containsText" text="OBSOLETE">
      <formula>NOT(ISERROR(SEARCH("OBSOLETE",M1)))</formula>
    </cfRule>
  </conditionalFormatting>
  <hyperlinks>
    <hyperlink ref="F113" r:id="rId1" xr:uid="{D93E1701-CE7E-4037-96DE-81E55855183B}"/>
    <hyperlink ref="F114" r:id="rId2" xr:uid="{58CA32D6-C886-4718-B449-F60F63C21BA4}"/>
    <hyperlink ref="F115" r:id="rId3" xr:uid="{FEB515D6-308D-4614-B86B-A3C9E9CBF363}"/>
    <hyperlink ref="F122" r:id="rId4" xr:uid="{4CCF3D29-446F-4368-8A3D-F14D669D7E03}"/>
    <hyperlink ref="F132" r:id="rId5" xr:uid="{FCCDF8A8-4F87-4D50-BC55-7E9A468A83F8}"/>
    <hyperlink ref="F133" r:id="rId6" xr:uid="{13E400D1-8952-42F6-9F1D-B57513FF8426}"/>
    <hyperlink ref="F140" r:id="rId7" xr:uid="{5F8A67E1-6BFA-45C9-B7B5-9AB9D0EC3E66}"/>
    <hyperlink ref="M140" r:id="rId8" xr:uid="{5448E502-92A2-4A73-9F98-3DBBAEE0F8F9}"/>
    <hyperlink ref="M141" r:id="rId9" xr:uid="{4468D191-9B11-474E-BB89-05800CF030CF}"/>
    <hyperlink ref="F141" r:id="rId10" xr:uid="{1D03B1F3-C8A2-4B82-BB11-037A1B12D642}"/>
    <hyperlink ref="F142" r:id="rId11" xr:uid="{677F8ECE-EBDA-428E-A344-848AF8172406}"/>
    <hyperlink ref="F145" r:id="rId12" xr:uid="{FF38A544-2692-4B64-8928-BC29CEB7169C}"/>
    <hyperlink ref="M145" r:id="rId13" xr:uid="{87C03C3C-6D46-4098-90FB-D6EE43D42EDF}"/>
    <hyperlink ref="F148" r:id="rId14" xr:uid="{1FC7BA4E-4DFC-4290-922D-288F28822683}"/>
  </hyperlinks>
  <pageMargins left="0.7" right="0.7" top="0.75" bottom="0.75" header="0.3" footer="0.3"/>
  <pageSetup paperSize="9" orientation="portrait" r:id="rId15"/>
  <ignoredErrors>
    <ignoredError sqref="A8:A9 A18 A24:A25 A31 A41 A58:A59 A43 A66 A77 A81 A87:A89" numberStoredAsText="1"/>
  </ignoredErrors>
  <tableParts count="1"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483D30B-F841-4750-A96A-9993B5C91B37}">
          <x14:formula1>
            <xm:f>Listes!$D$1:$D$4</xm:f>
          </x14:formula1>
          <xm:sqref>L1</xm:sqref>
        </x14:dataValidation>
        <x14:dataValidation type="list" allowBlank="1" showInputMessage="1" showErrorMessage="1" xr:uid="{031683C4-6B91-40F7-B579-1824038F2302}">
          <x14:formula1>
            <xm:f>Listes!$E$1:$E$3</xm:f>
          </x14:formula1>
          <xm:sqref>G1:G203</xm:sqref>
        </x14:dataValidation>
        <x14:dataValidation type="list" allowBlank="1" showInputMessage="1" showErrorMessage="1" xr:uid="{AFC2D7D4-D253-4746-B3EA-798AF0754FBC}">
          <x14:formula1>
            <xm:f>Listes!$D$1:$D$5</xm:f>
          </x14:formula1>
          <xm:sqref>E2:E1048576 L2:L1048576</xm:sqref>
        </x14:dataValidation>
        <x14:dataValidation type="list" allowBlank="1" showInputMessage="1" showErrorMessage="1" xr:uid="{DFAE8343-C9A2-40EF-BEA2-C5B0BF535FAE}">
          <x14:formula1>
            <xm:f>Listes!$A:$A</xm:f>
          </x14:formula1>
          <xm:sqref>B2:B1048576 I2:I1048576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A1:R273"/>
  <sheetViews>
    <sheetView tabSelected="1" zoomScaleNormal="100" workbookViewId="0">
      <selection activeCell="A79" sqref="A79:XFD79"/>
    </sheetView>
  </sheetViews>
  <sheetFormatPr baseColWidth="10" defaultColWidth="8.88671875" defaultRowHeight="10.199999999999999" x14ac:dyDescent="0.2"/>
  <cols>
    <col min="1" max="1" width="11.33203125" style="1" customWidth="1"/>
    <col min="2" max="2" width="20.6640625" style="1" bestFit="1" customWidth="1"/>
    <col min="3" max="3" width="22.109375" style="1" bestFit="1" customWidth="1"/>
    <col min="4" max="4" width="25.33203125" style="1" bestFit="1" customWidth="1"/>
    <col min="5" max="5" width="6.6640625" style="1" bestFit="1" customWidth="1"/>
    <col min="6" max="6" width="29" style="1" bestFit="1" customWidth="1"/>
    <col min="7" max="7" width="23.109375" style="1" bestFit="1" customWidth="1"/>
    <col min="8" max="8" width="38.88671875" style="1" customWidth="1"/>
    <col min="9" max="9" width="24.109375" style="1" bestFit="1" customWidth="1"/>
    <col min="10" max="10" width="98.33203125" style="1" bestFit="1" customWidth="1"/>
    <col min="11" max="12" width="29.6640625" style="1" customWidth="1"/>
    <col min="13" max="13" width="46" style="1" customWidth="1"/>
    <col min="14" max="14" width="30.109375" style="14" bestFit="1" customWidth="1"/>
    <col min="15" max="15" width="50.6640625" style="14" bestFit="1" customWidth="1"/>
    <col min="16" max="16" width="36.109375" style="1" bestFit="1" customWidth="1"/>
    <col min="17" max="17" width="68.6640625" style="7" bestFit="1" customWidth="1"/>
    <col min="18" max="18" width="18.88671875" style="1" bestFit="1" customWidth="1"/>
    <col min="19" max="16384" width="8.88671875" style="1"/>
  </cols>
  <sheetData>
    <row r="1" spans="1:18" s="12" customFormat="1" ht="14.4" x14ac:dyDescent="0.3">
      <c r="A1" s="10" t="s">
        <v>0</v>
      </c>
      <c r="B1" s="10" t="s">
        <v>652</v>
      </c>
      <c r="C1" s="10" t="s">
        <v>653</v>
      </c>
      <c r="D1" s="10" t="s">
        <v>58</v>
      </c>
      <c r="E1" s="10" t="s">
        <v>685</v>
      </c>
      <c r="F1" s="10" t="s">
        <v>59</v>
      </c>
      <c r="G1" s="19" t="s">
        <v>1</v>
      </c>
      <c r="H1" s="10" t="s">
        <v>173</v>
      </c>
      <c r="I1" s="11" t="s">
        <v>2</v>
      </c>
      <c r="J1" s="10" t="s">
        <v>186</v>
      </c>
      <c r="K1" s="10" t="s">
        <v>321</v>
      </c>
      <c r="L1" s="10" t="s">
        <v>654</v>
      </c>
      <c r="M1" s="10" t="s">
        <v>646</v>
      </c>
      <c r="N1" s="10" t="s">
        <v>647</v>
      </c>
      <c r="O1" s="10" t="s">
        <v>648</v>
      </c>
      <c r="P1" s="11" t="s">
        <v>649</v>
      </c>
      <c r="Q1" s="10" t="s">
        <v>650</v>
      </c>
      <c r="R1" s="10" t="s">
        <v>651</v>
      </c>
    </row>
    <row r="2" spans="1:18" ht="20.399999999999999" x14ac:dyDescent="0.2">
      <c r="A2" s="2" t="s">
        <v>3</v>
      </c>
      <c r="B2" s="5" t="s">
        <v>41</v>
      </c>
      <c r="C2" s="5" t="s">
        <v>60</v>
      </c>
      <c r="D2" s="6" t="str">
        <f>IFERROR(IF(VLOOKUP(Tbl_Donnees[[#This Row],[Référence]]&amp;"",Tbl_Catalogue[],3,FALSE)=0,"-",VLOOKUP(Tbl_Donnees[[#This Row],[Référence]]&amp;"",Tbl_Catalogue[],3,FALSE)),"-")</f>
        <v xml:space="preserve">INTERRUPTEUR POSITION </v>
      </c>
      <c r="E2" s="6">
        <v>2</v>
      </c>
      <c r="F2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2" s="20" t="s">
        <v>45</v>
      </c>
      <c r="H2" s="6" t="str">
        <f>IFERROR(IF(VLOOKUP(Tbl_Donnees[[#This Row],[Référence]]&amp;"",Tbl_Catalogue[],4,FALSE)=0,"-",VLOOKUP(Tbl_Donnees[[#This Row],[Référence]]&amp;"",Tbl_Catalogue[],4,FALSE)),"-")</f>
        <v>Commercialisé</v>
      </c>
      <c r="I2" s="2" t="str">
        <f>IFERROR(IF(VLOOKUP(Tbl_Donnees[[#This Row],[Référence]]&amp;"",Tbl_Catalogue[],5,FALSE)=0,"-",VLOOKUP(Tbl_Donnees[[#This Row],[Référence]]&amp;"",Tbl_Catalogue[],5,FALSE)),"INCONNU")</f>
        <v>ACTIF</v>
      </c>
      <c r="J2" s="3" t="str">
        <f>IFERROR(IF(VLOOKUP(Tbl_Donnees[[#This Row],[Référence]]&amp;"",Tbl_Catalogue[],6,FALSE)=0,"-",VLOOKUP(Tbl_Donnees[[#This Row],[Référence]]&amp;"",Tbl_Catalogue[],6,FALSE)),"-")</f>
        <v>https://telemecaniquesensors.com/fr/fr/product/reference/XCKM115</v>
      </c>
      <c r="K2" s="2" t="str">
        <f>IFERROR(IF(VLOOKUP(Tbl_Donnees[[#This Row],[Référence]]&amp;"",Tbl_Catalogue[],7,FALSE)=0,"-",VLOOKUP(Tbl_Donnees[[#This Row],[Référence]]&amp;"",Tbl_Catalogue[],7,FALSE)),"-")</f>
        <v>-</v>
      </c>
      <c r="L2" s="5" t="str">
        <f>IFERROR(IF(VLOOKUP(Tbl_Donnees[[#This Row],[Référence]]&amp;"",Tbl_Catalogue[],10,FALSE)=0,"-",VLOOKUP(Tbl_Donnees[[#This Row],[Référence]]&amp;"",Tbl_Catalogue[],10,FALSE)),"-")</f>
        <v>-</v>
      </c>
      <c r="M2" s="2" t="str">
        <f>IFERROR(IF(VLOOKUP(Tbl_Donnees[[#This Row],[Référence]]&amp;"",Tbl_Catalogue[],8,FALSE)=0,"-",VLOOKUP(Tbl_Donnees[[#This Row],[Référence]]&amp;"",Tbl_Catalogue[],8,FALSE)),"-")</f>
        <v>-</v>
      </c>
      <c r="N2" s="5" t="str">
        <f>IFERROR(IF(VLOOKUP(Tbl_Donnees[[#This Row],[Référence]]&amp;"",Tbl_Catalogue[],9,FALSE)=0,"-",VLOOKUP(Tbl_Donnees[[#This Row],[Référence]]&amp;"",Tbl_Catalogue[],9,FALSE)),"-")</f>
        <v>-</v>
      </c>
      <c r="O2" s="5" t="str">
        <f>IFERROR(IF(VLOOKUP(Tbl_Donnees[[#This Row],[Référence]]&amp;"",Tbl_Catalogue[],11,FALSE)=0,"-",VLOOKUP(Tbl_Donnees[[#This Row],[Référence]]&amp;"",Tbl_Catalogue[],11,FALSE)),"-")</f>
        <v>-</v>
      </c>
      <c r="P2" s="2" t="str">
        <f>IFERROR(IF(VLOOKUP(Tbl_Donnees[[#This Row],[Référence]]&amp;"",Tbl_Catalogue[],12,FALSE)=0,"-",VLOOKUP(Tbl_Donnees[[#This Row],[Référence]]&amp;"",Tbl_Catalogue[],12,FALSE)),"-")</f>
        <v>-</v>
      </c>
      <c r="Q2" s="13" t="str">
        <f>IFERROR(IF(VLOOKUP(Tbl_Donnees[[#This Row],[Référence]]&amp;"",Tbl_Catalogue[],13,FALSE)=0,"-",VLOOKUP(Tbl_Donnees[[#This Row],[Référence]]&amp;"",Tbl_Catalogue[],13,FALSE)),"-")</f>
        <v>-</v>
      </c>
      <c r="R2" s="5"/>
    </row>
    <row r="3" spans="1:18" ht="20.399999999999999" x14ac:dyDescent="0.2">
      <c r="A3" s="2" t="s">
        <v>3</v>
      </c>
      <c r="B3" s="5" t="s">
        <v>41</v>
      </c>
      <c r="C3" s="5" t="s">
        <v>60</v>
      </c>
      <c r="D3" s="6" t="str">
        <f>IFERROR(IF(VLOOKUP(Tbl_Donnees[[#This Row],[Référence]]&amp;"",Tbl_Catalogue[],3,FALSE)=0,"-",VLOOKUP(Tbl_Donnees[[#This Row],[Référence]]&amp;"",Tbl_Catalogue[],3,FALSE)),"-")</f>
        <v xml:space="preserve">CORPS INTERRUPTEUR POS. </v>
      </c>
      <c r="E3" s="6">
        <v>2</v>
      </c>
      <c r="F3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3" s="20" t="s">
        <v>156</v>
      </c>
      <c r="H3" s="6" t="str">
        <f>IFERROR(IF(VLOOKUP(Tbl_Donnees[[#This Row],[Référence]]&amp;"",Tbl_Catalogue[],4,FALSE)=0,"-",VLOOKUP(Tbl_Donnees[[#This Row],[Référence]]&amp;"",Tbl_Catalogue[],4,FALSE)),"-")</f>
        <v>Commercialisé</v>
      </c>
      <c r="I3" s="2" t="str">
        <f>IFERROR(IF(VLOOKUP(Tbl_Donnees[[#This Row],[Référence]]&amp;"",Tbl_Catalogue[],5,FALSE)=0,"-",VLOOKUP(Tbl_Donnees[[#This Row],[Référence]]&amp;"",Tbl_Catalogue[],5,FALSE)),"INCONNU")</f>
        <v>ACTIF</v>
      </c>
      <c r="J3" s="3" t="str">
        <f>IFERROR(IF(VLOOKUP(Tbl_Donnees[[#This Row],[Référence]]&amp;"",Tbl_Catalogue[],6,FALSE)=0,"-",VLOOKUP(Tbl_Donnees[[#This Row],[Référence]]&amp;"",Tbl_Catalogue[],6,FALSE)),"-")</f>
        <v>https://telemecaniquesensors.com/fr/fr/product/reference/ZCKM1</v>
      </c>
      <c r="K3" s="2" t="str">
        <f>IFERROR(IF(VLOOKUP(Tbl_Donnees[[#This Row],[Référence]]&amp;"",Tbl_Catalogue[],7,FALSE)=0,"-",VLOOKUP(Tbl_Donnees[[#This Row],[Référence]]&amp;"",Tbl_Catalogue[],7,FALSE)),"-")</f>
        <v>-</v>
      </c>
      <c r="L3" s="5" t="str">
        <f>IFERROR(IF(VLOOKUP(Tbl_Donnees[[#This Row],[Référence]]&amp;"",Tbl_Catalogue[],10,FALSE)=0,"-",VLOOKUP(Tbl_Donnees[[#This Row],[Référence]]&amp;"",Tbl_Catalogue[],10,FALSE)),"-")</f>
        <v>-</v>
      </c>
      <c r="M3" s="2" t="str">
        <f>IFERROR(IF(VLOOKUP(Tbl_Donnees[[#This Row],[Référence]]&amp;"",Tbl_Catalogue[],8,FALSE)=0,"-",VLOOKUP(Tbl_Donnees[[#This Row],[Référence]]&amp;"",Tbl_Catalogue[],8,FALSE)),"-")</f>
        <v>-</v>
      </c>
      <c r="N3" s="5" t="str">
        <f>IFERROR(IF(VLOOKUP(Tbl_Donnees[[#This Row],[Référence]]&amp;"",Tbl_Catalogue[],9,FALSE)=0,"-",VLOOKUP(Tbl_Donnees[[#This Row],[Référence]]&amp;"",Tbl_Catalogue[],9,FALSE)),"-")</f>
        <v>-</v>
      </c>
      <c r="O3" s="5" t="str">
        <f>IFERROR(IF(VLOOKUP(Tbl_Donnees[[#This Row],[Référence]]&amp;"",Tbl_Catalogue[],11,FALSE)=0,"-",VLOOKUP(Tbl_Donnees[[#This Row],[Référence]]&amp;"",Tbl_Catalogue[],11,FALSE)),"-")</f>
        <v>-</v>
      </c>
      <c r="P3" s="2" t="str">
        <f>IFERROR(IF(VLOOKUP(Tbl_Donnees[[#This Row],[Référence]]&amp;"",Tbl_Catalogue[],12,FALSE)=0,"-",VLOOKUP(Tbl_Donnees[[#This Row],[Référence]]&amp;"",Tbl_Catalogue[],12,FALSE)),"-")</f>
        <v>-</v>
      </c>
      <c r="Q3" s="13" t="str">
        <f>IFERROR(IF(VLOOKUP(Tbl_Donnees[[#This Row],[Référence]]&amp;"",Tbl_Catalogue[],13,FALSE)=0,"-",VLOOKUP(Tbl_Donnees[[#This Row],[Référence]]&amp;"",Tbl_Catalogue[],13,FALSE)),"-")</f>
        <v>-</v>
      </c>
      <c r="R3" s="2"/>
    </row>
    <row r="4" spans="1:18" ht="20.399999999999999" x14ac:dyDescent="0.2">
      <c r="A4" s="2" t="s">
        <v>3</v>
      </c>
      <c r="B4" s="5" t="s">
        <v>41</v>
      </c>
      <c r="C4" s="5" t="s">
        <v>60</v>
      </c>
      <c r="D4" s="6" t="str">
        <f>IFERROR(IF(VLOOKUP(Tbl_Donnees[[#This Row],[Référence]]&amp;"",Tbl_Catalogue[],3,FALSE)=0,"-",VLOOKUP(Tbl_Donnees[[#This Row],[Référence]]&amp;"",Tbl_Catalogue[],3,FALSE)),"-")</f>
        <v xml:space="preserve">TETE INTERRUPTEUR POS. </v>
      </c>
      <c r="E4" s="6">
        <v>2</v>
      </c>
      <c r="F4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4" s="20" t="s">
        <v>157</v>
      </c>
      <c r="H4" s="6" t="str">
        <f>IFERROR(IF(VLOOKUP(Tbl_Donnees[[#This Row],[Référence]]&amp;"",Tbl_Catalogue[],4,FALSE)=0,"-",VLOOKUP(Tbl_Donnees[[#This Row],[Référence]]&amp;"",Tbl_Catalogue[],4,FALSE)),"-")</f>
        <v>Commercialisé</v>
      </c>
      <c r="I4" s="2" t="str">
        <f>IFERROR(IF(VLOOKUP(Tbl_Donnees[[#This Row],[Référence]]&amp;"",Tbl_Catalogue[],5,FALSE)=0,"-",VLOOKUP(Tbl_Donnees[[#This Row],[Référence]]&amp;"",Tbl_Catalogue[],5,FALSE)),"INCONNU")</f>
        <v>ACTIF</v>
      </c>
      <c r="J4" s="3" t="str">
        <f>IFERROR(IF(VLOOKUP(Tbl_Donnees[[#This Row],[Référence]]&amp;"",Tbl_Catalogue[],6,FALSE)=0,"-",VLOOKUP(Tbl_Donnees[[#This Row],[Référence]]&amp;"",Tbl_Catalogue[],6,FALSE)),"-")</f>
        <v>https://telemecaniquesensors.com/fr/fr/product/reference/ZCKD15</v>
      </c>
      <c r="K4" s="2" t="str">
        <f>IFERROR(IF(VLOOKUP(Tbl_Donnees[[#This Row],[Référence]]&amp;"",Tbl_Catalogue[],7,FALSE)=0,"-",VLOOKUP(Tbl_Donnees[[#This Row],[Référence]]&amp;"",Tbl_Catalogue[],7,FALSE)),"-")</f>
        <v>-</v>
      </c>
      <c r="L4" s="5" t="str">
        <f>IFERROR(IF(VLOOKUP(Tbl_Donnees[[#This Row],[Référence]]&amp;"",Tbl_Catalogue[],10,FALSE)=0,"-",VLOOKUP(Tbl_Donnees[[#This Row],[Référence]]&amp;"",Tbl_Catalogue[],10,FALSE)),"-")</f>
        <v>-</v>
      </c>
      <c r="M4" s="2" t="str">
        <f>IFERROR(IF(VLOOKUP(Tbl_Donnees[[#This Row],[Référence]]&amp;"",Tbl_Catalogue[],8,FALSE)=0,"-",VLOOKUP(Tbl_Donnees[[#This Row],[Référence]]&amp;"",Tbl_Catalogue[],8,FALSE)),"-")</f>
        <v>-</v>
      </c>
      <c r="N4" s="5" t="str">
        <f>IFERROR(IF(VLOOKUP(Tbl_Donnees[[#This Row],[Référence]]&amp;"",Tbl_Catalogue[],9,FALSE)=0,"-",VLOOKUP(Tbl_Donnees[[#This Row],[Référence]]&amp;"",Tbl_Catalogue[],9,FALSE)),"-")</f>
        <v>-</v>
      </c>
      <c r="O4" s="5" t="str">
        <f>IFERROR(IF(VLOOKUP(Tbl_Donnees[[#This Row],[Référence]]&amp;"",Tbl_Catalogue[],11,FALSE)=0,"-",VLOOKUP(Tbl_Donnees[[#This Row],[Référence]]&amp;"",Tbl_Catalogue[],11,FALSE)),"-")</f>
        <v>-</v>
      </c>
      <c r="P4" s="2" t="str">
        <f>IFERROR(IF(VLOOKUP(Tbl_Donnees[[#This Row],[Référence]]&amp;"",Tbl_Catalogue[],12,FALSE)=0,"-",VLOOKUP(Tbl_Donnees[[#This Row],[Référence]]&amp;"",Tbl_Catalogue[],12,FALSE)),"-")</f>
        <v>-</v>
      </c>
      <c r="Q4" s="13" t="str">
        <f>IFERROR(IF(VLOOKUP(Tbl_Donnees[[#This Row],[Référence]]&amp;"",Tbl_Catalogue[],13,FALSE)=0,"-",VLOOKUP(Tbl_Donnees[[#This Row],[Référence]]&amp;"",Tbl_Catalogue[],13,FALSE)),"-")</f>
        <v>-</v>
      </c>
      <c r="R4" s="5"/>
    </row>
    <row r="5" spans="1:18" ht="20.399999999999999" x14ac:dyDescent="0.2">
      <c r="A5" s="2" t="s">
        <v>3</v>
      </c>
      <c r="B5" s="5" t="s">
        <v>41</v>
      </c>
      <c r="C5" s="5" t="s">
        <v>60</v>
      </c>
      <c r="D5" s="6" t="str">
        <f>IFERROR(IF(VLOOKUP(Tbl_Donnees[[#This Row],[Référence]]&amp;"",Tbl_Catalogue[],3,FALSE)=0,"-",VLOOKUP(Tbl_Donnees[[#This Row],[Référence]]&amp;"",Tbl_Catalogue[],3,FALSE)),"-")</f>
        <v>CORPS INTERRUPTEUR POSITION</v>
      </c>
      <c r="E5" s="6">
        <v>1</v>
      </c>
      <c r="F5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5" s="20" t="s">
        <v>158</v>
      </c>
      <c r="H5" s="6" t="str">
        <f>IFERROR(IF(VLOOKUP(Tbl_Donnees[[#This Row],[Référence]]&amp;"",Tbl_Catalogue[],4,FALSE)=0,"-",VLOOKUP(Tbl_Donnees[[#This Row],[Référence]]&amp;"",Tbl_Catalogue[],4,FALSE)),"-")</f>
        <v>Commercialisé</v>
      </c>
      <c r="I5" s="2" t="str">
        <f>IFERROR(IF(VLOOKUP(Tbl_Donnees[[#This Row],[Référence]]&amp;"",Tbl_Catalogue[],5,FALSE)=0,"-",VLOOKUP(Tbl_Donnees[[#This Row],[Référence]]&amp;"",Tbl_Catalogue[],5,FALSE)),"INCONNU")</f>
        <v>ACTIF</v>
      </c>
      <c r="J5" s="3" t="str">
        <f>IFERROR(IF(VLOOKUP(Tbl_Donnees[[#This Row],[Référence]]&amp;"",Tbl_Catalogue[],6,FALSE)=0,"-",VLOOKUP(Tbl_Donnees[[#This Row],[Référence]]&amp;"",Tbl_Catalogue[],6,FALSE)),"-")</f>
        <v>https://telemecaniquesensors.com/fr/fr/product/reference/ZCMD21</v>
      </c>
      <c r="K5" s="2" t="s">
        <v>783</v>
      </c>
      <c r="L5" s="5" t="str">
        <f>IFERROR(IF(VLOOKUP(Tbl_Donnees[[#This Row],[Référence]]&amp;"",Tbl_Catalogue[],10,FALSE)=0,"-",VLOOKUP(Tbl_Donnees[[#This Row],[Référence]]&amp;"",Tbl_Catalogue[],10,FALSE)),"-")</f>
        <v>-</v>
      </c>
      <c r="M5" s="2" t="str">
        <f>IFERROR(IF(VLOOKUP(Tbl_Donnees[[#This Row],[Référence]]&amp;"",Tbl_Catalogue[],8,FALSE)=0,"-",VLOOKUP(Tbl_Donnees[[#This Row],[Référence]]&amp;"",Tbl_Catalogue[],8,FALSE)),"-")</f>
        <v>-</v>
      </c>
      <c r="N5" s="5" t="str">
        <f>IFERROR(IF(VLOOKUP(Tbl_Donnees[[#This Row],[Référence]]&amp;"",Tbl_Catalogue[],9,FALSE)=0,"-",VLOOKUP(Tbl_Donnees[[#This Row],[Référence]]&amp;"",Tbl_Catalogue[],9,FALSE)),"-")</f>
        <v>-</v>
      </c>
      <c r="O5" s="5" t="str">
        <f>IFERROR(IF(VLOOKUP(Tbl_Donnees[[#This Row],[Référence]]&amp;"",Tbl_Catalogue[],11,FALSE)=0,"-",VLOOKUP(Tbl_Donnees[[#This Row],[Référence]]&amp;"",Tbl_Catalogue[],11,FALSE)),"-")</f>
        <v>-</v>
      </c>
      <c r="P5" s="2" t="str">
        <f>IFERROR(IF(VLOOKUP(Tbl_Donnees[[#This Row],[Référence]]&amp;"",Tbl_Catalogue[],12,FALSE)=0,"-",VLOOKUP(Tbl_Donnees[[#This Row],[Référence]]&amp;"",Tbl_Catalogue[],12,FALSE)),"-")</f>
        <v>-</v>
      </c>
      <c r="Q5" s="13" t="str">
        <f>IFERROR(IF(VLOOKUP(Tbl_Donnees[[#This Row],[Référence]]&amp;"",Tbl_Catalogue[],13,FALSE)=0,"-",VLOOKUP(Tbl_Donnees[[#This Row],[Référence]]&amp;"",Tbl_Catalogue[],13,FALSE)),"-")</f>
        <v>-</v>
      </c>
      <c r="R5" s="2"/>
    </row>
    <row r="6" spans="1:18" x14ac:dyDescent="0.2">
      <c r="A6" s="2" t="s">
        <v>3</v>
      </c>
      <c r="B6" s="5" t="s">
        <v>41</v>
      </c>
      <c r="C6" s="5" t="s">
        <v>60</v>
      </c>
      <c r="D6" s="6" t="str">
        <f>IFERROR(IF(VLOOKUP(Tbl_Donnees[[#This Row],[Référence]]&amp;"",Tbl_Catalogue[],3,FALSE)=0,"-",VLOOKUP(Tbl_Donnees[[#This Row],[Référence]]&amp;"",Tbl_Catalogue[],3,FALSE)),"-")</f>
        <v xml:space="preserve">MOD. 16DI/DO 24VCC SM323 </v>
      </c>
      <c r="E6" s="6">
        <v>3</v>
      </c>
      <c r="F6" s="6" t="str">
        <f>IFERROR(IF(VLOOKUP(Tbl_Donnees[[#This Row],[Référence]]&amp;"",Tbl_Catalogue[],2,FALSE)=0,"-",VLOOKUP(Tbl_Donnees[[#This Row],[Référence]]&amp;"",Tbl_Catalogue[],2,FALSE)),"-")</f>
        <v>SIEMENS</v>
      </c>
      <c r="G6" s="20" t="s">
        <v>43</v>
      </c>
      <c r="H6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6" s="2" t="str">
        <f>IFERROR(IF(VLOOKUP(Tbl_Donnees[[#This Row],[Référence]]&amp;"",Tbl_Catalogue[],5,FALSE)=0,"-",VLOOKUP(Tbl_Donnees[[#This Row],[Référence]]&amp;"",Tbl_Catalogue[],5,FALSE)),"INCONNU")</f>
        <v>RECHANGE</v>
      </c>
      <c r="J6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https://sieportal.siemens.com/fr-fr/products-services/detail/6ES7323-1BL00-0AA0?tree=CatalogTree</v>
      </c>
      <c r="K6" s="2" t="str">
        <f>IFERROR(IF(VLOOKUP(Tbl_Donnees[[#This Row],[Référence]]&amp;"",Tbl_Catalogue[],7,FALSE)=0,"-",VLOOKUP(Tbl_Donnees[[#This Row],[Référence]]&amp;"",Tbl_Catalogue[],7,FALSE)),"-")</f>
        <v>INCONNU</v>
      </c>
      <c r="L6" s="5" t="str">
        <f>IFERROR(IF(VLOOKUP(Tbl_Donnees[[#This Row],[Référence]]&amp;"",Tbl_Catalogue[],10,FALSE)=0,"-",VLOOKUP(Tbl_Donnees[[#This Row],[Référence]]&amp;"",Tbl_Catalogue[],10,FALSE)),"-")</f>
        <v>-</v>
      </c>
      <c r="M6" s="2" t="str">
        <f>IFERROR(IF(VLOOKUP(Tbl_Donnees[[#This Row],[Référence]]&amp;"",Tbl_Catalogue[],8,FALSE)=0,"-",VLOOKUP(Tbl_Donnees[[#This Row],[Référence]]&amp;"",Tbl_Catalogue[],8,FALSE)),"-")</f>
        <v>-</v>
      </c>
      <c r="N6" s="5" t="str">
        <f>IFERROR(IF(VLOOKUP(Tbl_Donnees[[#This Row],[Référence]]&amp;"",Tbl_Catalogue[],9,FALSE)=0,"-",VLOOKUP(Tbl_Donnees[[#This Row],[Référence]]&amp;"",Tbl_Catalogue[],9,FALSE)),"-")</f>
        <v>-</v>
      </c>
      <c r="O6" s="5" t="str">
        <f>IFERROR(IF(VLOOKUP(Tbl_Donnees[[#This Row],[Référence]]&amp;"",Tbl_Catalogue[],11,FALSE)=0,"-",VLOOKUP(Tbl_Donnees[[#This Row],[Référence]]&amp;"",Tbl_Catalogue[],11,FALSE)),"-")</f>
        <v>-</v>
      </c>
      <c r="P6" s="2" t="str">
        <f>IFERROR(IF(VLOOKUP(Tbl_Donnees[[#This Row],[Référence]]&amp;"",Tbl_Catalogue[],12,FALSE)=0,"-",VLOOKUP(Tbl_Donnees[[#This Row],[Référence]]&amp;"",Tbl_Catalogue[],12,FALSE)),"-")</f>
        <v>-</v>
      </c>
      <c r="Q6" s="13" t="str">
        <f>IFERROR(IF(VLOOKUP(Tbl_Donnees[[#This Row],[Référence]]&amp;"",Tbl_Catalogue[],13,FALSE)=0,"-",VLOOKUP(Tbl_Donnees[[#This Row],[Référence]]&amp;"",Tbl_Catalogue[],13,FALSE)),"-")</f>
        <v>-</v>
      </c>
      <c r="R6" s="2"/>
    </row>
    <row r="7" spans="1:18" x14ac:dyDescent="0.2">
      <c r="A7" s="2" t="s">
        <v>3</v>
      </c>
      <c r="B7" s="5" t="s">
        <v>41</v>
      </c>
      <c r="C7" s="5" t="s">
        <v>60</v>
      </c>
      <c r="D7" s="6" t="str">
        <f>IFERROR(IF(VLOOKUP(Tbl_Donnees[[#This Row],[Référence]]&amp;"",Tbl_Catalogue[],3,FALSE)=0,"-",VLOOKUP(Tbl_Donnees[[#This Row],[Référence]]&amp;"",Tbl_Catalogue[],3,FALSE)),"-")</f>
        <v>PLC S7-300 CPU 315</v>
      </c>
      <c r="E7" s="6">
        <v>1</v>
      </c>
      <c r="F7" s="6" t="str">
        <f>IFERROR(IF(VLOOKUP(Tbl_Donnees[[#This Row],[Référence]]&amp;"",Tbl_Catalogue[],2,FALSE)=0,"-",VLOOKUP(Tbl_Donnees[[#This Row],[Référence]]&amp;"",Tbl_Catalogue[],2,FALSE)),"-")</f>
        <v>SIEMENS</v>
      </c>
      <c r="G7" s="20" t="s">
        <v>42</v>
      </c>
      <c r="H7" s="6" t="str">
        <f>IFERROR(IF(VLOOKUP(Tbl_Donnees[[#This Row],[Référence]]&amp;"",Tbl_Catalogue[],4,FALSE)=0,"-",VLOOKUP(Tbl_Donnees[[#This Row],[Référence]]&amp;"",Tbl_Catalogue[],4,FALSE)),"-")</f>
        <v>Fin de vie du produit (01/10/2016)</v>
      </c>
      <c r="I7" s="2" t="str">
        <f>IFERROR(IF(VLOOKUP(Tbl_Donnees[[#This Row],[Référence]]&amp;"",Tbl_Catalogue[],5,FALSE)=0,"-",VLOOKUP(Tbl_Donnees[[#This Row],[Référence]]&amp;"",Tbl_Catalogue[],5,FALSE)),"INCONNU")</f>
        <v>OBSOLETE</v>
      </c>
      <c r="J7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https://sieportal.siemens.com/fr-fr/products-services/detail/6ES7315-1AF03-0AB0?tree=CatalogTree</v>
      </c>
      <c r="K7" s="2" t="str">
        <f>IFERROR(IF(VLOOKUP(Tbl_Donnees[[#This Row],[Référence]]&amp;"",Tbl_Catalogue[],7,FALSE)=0,"-",VLOOKUP(Tbl_Donnees[[#This Row],[Référence]]&amp;"",Tbl_Catalogue[],7,FALSE)),"-")</f>
        <v>NON</v>
      </c>
      <c r="L7" s="5" t="str">
        <f>IFERROR(IF(VLOOKUP(Tbl_Donnees[[#This Row],[Référence]]&amp;"",Tbl_Catalogue[],10,FALSE)=0,"-",VLOOKUP(Tbl_Donnees[[#This Row],[Référence]]&amp;"",Tbl_Catalogue[],10,FALSE)),"-")</f>
        <v>-</v>
      </c>
      <c r="M7" s="2" t="str">
        <f>IFERROR(IF(VLOOKUP(Tbl_Donnees[[#This Row],[Référence]]&amp;"",Tbl_Catalogue[],8,FALSE)=0,"-",VLOOKUP(Tbl_Donnees[[#This Row],[Référence]]&amp;"",Tbl_Catalogue[],8,FALSE)),"-")</f>
        <v>-</v>
      </c>
      <c r="N7" s="5" t="str">
        <f>IFERROR(IF(VLOOKUP(Tbl_Donnees[[#This Row],[Référence]]&amp;"",Tbl_Catalogue[],9,FALSE)=0,"-",VLOOKUP(Tbl_Donnees[[#This Row],[Référence]]&amp;"",Tbl_Catalogue[],9,FALSE)),"-")</f>
        <v>-</v>
      </c>
      <c r="O7" s="5" t="str">
        <f>IFERROR(IF(VLOOKUP(Tbl_Donnees[[#This Row],[Référence]]&amp;"",Tbl_Catalogue[],11,FALSE)=0,"-",VLOOKUP(Tbl_Donnees[[#This Row],[Référence]]&amp;"",Tbl_Catalogue[],11,FALSE)),"-")</f>
        <v>-</v>
      </c>
      <c r="P7" s="2" t="str">
        <f>IFERROR(IF(VLOOKUP(Tbl_Donnees[[#This Row],[Référence]]&amp;"",Tbl_Catalogue[],12,FALSE)=0,"-",VLOOKUP(Tbl_Donnees[[#This Row],[Référence]]&amp;"",Tbl_Catalogue[],12,FALSE)),"-")</f>
        <v>-</v>
      </c>
      <c r="Q7" s="13" t="str">
        <f>IFERROR(IF(VLOOKUP(Tbl_Donnees[[#This Row],[Référence]]&amp;"",Tbl_Catalogue[],13,FALSE)=0,"-",VLOOKUP(Tbl_Donnees[[#This Row],[Référence]]&amp;"",Tbl_Catalogue[],13,FALSE)),"-")</f>
        <v>-</v>
      </c>
      <c r="R7" s="2"/>
    </row>
    <row r="8" spans="1:18" x14ac:dyDescent="0.2">
      <c r="A8" s="2" t="s">
        <v>3</v>
      </c>
      <c r="B8" s="5" t="s">
        <v>41</v>
      </c>
      <c r="C8" s="5" t="s">
        <v>60</v>
      </c>
      <c r="D8" s="6" t="str">
        <f>IFERROR(IF(VLOOKUP(Tbl_Donnees[[#This Row],[Référence]]&amp;"",Tbl_Catalogue[],3,FALSE)=0,"-",VLOOKUP(Tbl_Donnees[[#This Row],[Référence]]&amp;"",Tbl_Catalogue[],3,FALSE)),"-")</f>
        <v>MOD. COMPTAGE FM350</v>
      </c>
      <c r="E8" s="6">
        <v>1</v>
      </c>
      <c r="F8" s="6" t="str">
        <f>IFERROR(IF(VLOOKUP(Tbl_Donnees[[#This Row],[Référence]]&amp;"",Tbl_Catalogue[],2,FALSE)=0,"-",VLOOKUP(Tbl_Donnees[[#This Row],[Référence]]&amp;"",Tbl_Catalogue[],2,FALSE)),"-")</f>
        <v>SIEMENS</v>
      </c>
      <c r="G8" s="20" t="s">
        <v>7</v>
      </c>
      <c r="H8" s="6" t="str">
        <f>IFERROR(IF(VLOOKUP(Tbl_Donnees[[#This Row],[Référence]]&amp;"",Tbl_Catalogue[],4,FALSE)=0,"-",VLOOKUP(Tbl_Donnees[[#This Row],[Référence]]&amp;"",Tbl_Catalogue[],4,FALSE)),"-")</f>
        <v>Fin de vie du produit (01/10/2011)</v>
      </c>
      <c r="I8" s="2" t="str">
        <f>IFERROR(IF(VLOOKUP(Tbl_Donnees[[#This Row],[Référence]]&amp;"",Tbl_Catalogue[],5,FALSE)=0,"-",VLOOKUP(Tbl_Donnees[[#This Row],[Référence]]&amp;"",Tbl_Catalogue[],5,FALSE)),"INCONNU")</f>
        <v>OBSOLETE</v>
      </c>
      <c r="J8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https://sieportal.siemens.com/fr-ww/products-services/detail/6ES7350-1AH02-0AE0?tree=CatalogTree</v>
      </c>
      <c r="K8" s="2" t="str">
        <f>IFERROR(IF(VLOOKUP(Tbl_Donnees[[#This Row],[Référence]]&amp;"",Tbl_Catalogue[],7,FALSE)=0,"-",VLOOKUP(Tbl_Donnees[[#This Row],[Référence]]&amp;"",Tbl_Catalogue[],7,FALSE)),"-")</f>
        <v>OUI</v>
      </c>
      <c r="L8" s="5" t="str">
        <f>IFERROR(IF(VLOOKUP(Tbl_Donnees[[#This Row],[Référence]]&amp;"",Tbl_Catalogue[],10,FALSE)=0,"-",VLOOKUP(Tbl_Donnees[[#This Row],[Référence]]&amp;"",Tbl_Catalogue[],10,FALSE)),"-")</f>
        <v>-</v>
      </c>
      <c r="M8" s="2" t="str">
        <f>IFERROR(IF(VLOOKUP(Tbl_Donnees[[#This Row],[Référence]]&amp;"",Tbl_Catalogue[],8,FALSE)=0,"-",VLOOKUP(Tbl_Donnees[[#This Row],[Référence]]&amp;"",Tbl_Catalogue[],8,FALSE)),"-")</f>
        <v>6ES7350-1AH03-0AE0</v>
      </c>
      <c r="N8" s="5" t="str">
        <f>IFERROR(IF(VLOOKUP(Tbl_Donnees[[#This Row],[Référence]]&amp;"",Tbl_Catalogue[],9,FALSE)=0,"-",VLOOKUP(Tbl_Donnees[[#This Row],[Référence]]&amp;"",Tbl_Catalogue[],9,FALSE)),"-")</f>
        <v>SIEMENS</v>
      </c>
      <c r="O8" s="5" t="str">
        <f>IFERROR(IF(VLOOKUP(Tbl_Donnees[[#This Row],[Référence]]&amp;"",Tbl_Catalogue[],11,FALSE)=0,"-",VLOOKUP(Tbl_Donnees[[#This Row],[Référence]]&amp;"",Tbl_Catalogue[],11,FALSE)),"-")</f>
        <v>Pièce de rechange (01/10/2025)</v>
      </c>
      <c r="P8" s="2" t="str">
        <f>IFERROR(IF(VLOOKUP(Tbl_Donnees[[#This Row],[Référence]]&amp;"",Tbl_Catalogue[],12,FALSE)=0,"-",VLOOKUP(Tbl_Donnees[[#This Row],[Référence]]&amp;"",Tbl_Catalogue[],12,FALSE)),"-")</f>
        <v>RECHANGE</v>
      </c>
      <c r="Q8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https://sieportal.siemens.com/fr-ww/products-services/detail/6ES7350-1AH03-0AE0?tree=CatalogTree</v>
      </c>
      <c r="R8" s="2"/>
    </row>
    <row r="9" spans="1:18" x14ac:dyDescent="0.2">
      <c r="A9" s="2" t="s">
        <v>3</v>
      </c>
      <c r="B9" s="5" t="s">
        <v>41</v>
      </c>
      <c r="C9" s="5" t="s">
        <v>60</v>
      </c>
      <c r="D9" s="6" t="str">
        <f>IFERROR(IF(VLOOKUP(Tbl_Donnees[[#This Row],[Référence]]&amp;"",Tbl_Catalogue[],3,FALSE)=0,"-",VLOOKUP(Tbl_Donnees[[#This Row],[Référence]]&amp;"",Tbl_Catalogue[],3,FALSE)),"-")</f>
        <v>BLOC SECURITE 3TK2804</v>
      </c>
      <c r="E9" s="6">
        <v>1</v>
      </c>
      <c r="F9" s="6" t="str">
        <f>IFERROR(IF(VLOOKUP(Tbl_Donnees[[#This Row],[Référence]]&amp;"",Tbl_Catalogue[],2,FALSE)=0,"-",VLOOKUP(Tbl_Donnees[[#This Row],[Référence]]&amp;"",Tbl_Catalogue[],2,FALSE)),"-")</f>
        <v>SIEMENS</v>
      </c>
      <c r="G9" s="20" t="s">
        <v>34</v>
      </c>
      <c r="H9" s="6" t="str">
        <f>IFERROR(IF(VLOOKUP(Tbl_Donnees[[#This Row],[Référence]]&amp;"",Tbl_Catalogue[],4,FALSE)=0,"-",VLOOKUP(Tbl_Donnees[[#This Row],[Référence]]&amp;"",Tbl_Catalogue[],4,FALSE)),"-")</f>
        <v>Fin de vie du produit (31/12/2011)</v>
      </c>
      <c r="I9" s="2" t="str">
        <f>IFERROR(IF(VLOOKUP(Tbl_Donnees[[#This Row],[Référence]]&amp;"",Tbl_Catalogue[],5,FALSE)=0,"-",VLOOKUP(Tbl_Donnees[[#This Row],[Référence]]&amp;"",Tbl_Catalogue[],5,FALSE)),"INCONNU")</f>
        <v>OBSOLETE</v>
      </c>
      <c r="J9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https://sieportal.siemens.com/fr-ww/products-services/detail/3TK2804-0BB4?tree=CatalogTree</v>
      </c>
      <c r="K9" s="2" t="str">
        <f>IFERROR(IF(VLOOKUP(Tbl_Donnees[[#This Row],[Référence]]&amp;"",Tbl_Catalogue[],7,FALSE)=0,"-",VLOOKUP(Tbl_Donnees[[#This Row],[Référence]]&amp;"",Tbl_Catalogue[],7,FALSE)),"-")</f>
        <v>NON</v>
      </c>
      <c r="L9" s="5" t="str">
        <f>IFERROR(IF(VLOOKUP(Tbl_Donnees[[#This Row],[Référence]]&amp;"",Tbl_Catalogue[],10,FALSE)=0,"-",VLOOKUP(Tbl_Donnees[[#This Row],[Référence]]&amp;"",Tbl_Catalogue[],10,FALSE)),"-")</f>
        <v>-</v>
      </c>
      <c r="M9" s="2" t="str">
        <f>IFERROR(IF(VLOOKUP(Tbl_Donnees[[#This Row],[Référence]]&amp;"",Tbl_Catalogue[],8,FALSE)=0,"-",VLOOKUP(Tbl_Donnees[[#This Row],[Référence]]&amp;"",Tbl_Catalogue[],8,FALSE)),"-")</f>
        <v>-</v>
      </c>
      <c r="N9" s="5" t="str">
        <f>IFERROR(IF(VLOOKUP(Tbl_Donnees[[#This Row],[Référence]]&amp;"",Tbl_Catalogue[],9,FALSE)=0,"-",VLOOKUP(Tbl_Donnees[[#This Row],[Référence]]&amp;"",Tbl_Catalogue[],9,FALSE)),"-")</f>
        <v>-</v>
      </c>
      <c r="O9" s="5" t="str">
        <f>IFERROR(IF(VLOOKUP(Tbl_Donnees[[#This Row],[Référence]]&amp;"",Tbl_Catalogue[],11,FALSE)=0,"-",VLOOKUP(Tbl_Donnees[[#This Row],[Référence]]&amp;"",Tbl_Catalogue[],11,FALSE)),"-")</f>
        <v>-</v>
      </c>
      <c r="P9" s="2" t="str">
        <f>IFERROR(IF(VLOOKUP(Tbl_Donnees[[#This Row],[Référence]]&amp;"",Tbl_Catalogue[],12,FALSE)=0,"-",VLOOKUP(Tbl_Donnees[[#This Row],[Référence]]&amp;"",Tbl_Catalogue[],12,FALSE)),"-")</f>
        <v>-</v>
      </c>
      <c r="Q9" s="13" t="str">
        <f>IFERROR(IF(VLOOKUP(Tbl_Donnees[[#This Row],[Référence]]&amp;"",Tbl_Catalogue[],13,FALSE)=0,"-",VLOOKUP(Tbl_Donnees[[#This Row],[Référence]]&amp;"",Tbl_Catalogue[],13,FALSE)),"-")</f>
        <v>-</v>
      </c>
      <c r="R9" s="2"/>
    </row>
    <row r="10" spans="1:18" x14ac:dyDescent="0.2">
      <c r="A10" s="2" t="s">
        <v>3</v>
      </c>
      <c r="B10" s="5" t="s">
        <v>41</v>
      </c>
      <c r="C10" s="5" t="s">
        <v>60</v>
      </c>
      <c r="D10" s="6" t="str">
        <f>IFERROR(IF(VLOOKUP(Tbl_Donnees[[#This Row],[Référence]]&amp;"",Tbl_Catalogue[],3,FALSE)=0,"-",VLOOKUP(Tbl_Donnees[[#This Row],[Référence]]&amp;"",Tbl_Catalogue[],3,FALSE)),"-")</f>
        <v>DISJ. MOTEUR SIRIUS 3R</v>
      </c>
      <c r="E10" s="6">
        <v>1</v>
      </c>
      <c r="F10" s="6" t="str">
        <f>IFERROR(IF(VLOOKUP(Tbl_Donnees[[#This Row],[Référence]]&amp;"",Tbl_Catalogue[],2,FALSE)=0,"-",VLOOKUP(Tbl_Donnees[[#This Row],[Référence]]&amp;"",Tbl_Catalogue[],2,FALSE)),"-")</f>
        <v>SIEMENS</v>
      </c>
      <c r="G10" s="20" t="s">
        <v>53</v>
      </c>
      <c r="H10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10" s="2" t="str">
        <f>IFERROR(IF(VLOOKUP(Tbl_Donnees[[#This Row],[Référence]]&amp;"",Tbl_Catalogue[],5,FALSE)=0,"-",VLOOKUP(Tbl_Donnees[[#This Row],[Référence]]&amp;"",Tbl_Catalogue[],5,FALSE)),"INCONNU")</f>
        <v>OBSOLETE</v>
      </c>
      <c r="J1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https://sieportal.siemens.com/fr-fr/products-services/detail/3RV1021-1GA15?tree=CatalogTree</v>
      </c>
      <c r="K10" s="2" t="str">
        <f>IFERROR(IF(VLOOKUP(Tbl_Donnees[[#This Row],[Référence]]&amp;"",Tbl_Catalogue[],7,FALSE)=0,"-",VLOOKUP(Tbl_Donnees[[#This Row],[Référence]]&amp;"",Tbl_Catalogue[],7,FALSE)),"-")</f>
        <v>OUI</v>
      </c>
      <c r="L10" s="5" t="str">
        <f>IFERROR(IF(VLOOKUP(Tbl_Donnees[[#This Row],[Référence]]&amp;"",Tbl_Catalogue[],10,FALSE)=0,"-",VLOOKUP(Tbl_Donnees[[#This Row],[Référence]]&amp;"",Tbl_Catalogue[],10,FALSE)),"-")</f>
        <v>-</v>
      </c>
      <c r="M10" s="2" t="str">
        <f>IFERROR(IF(VLOOKUP(Tbl_Donnees[[#This Row],[Référence]]&amp;"",Tbl_Catalogue[],8,FALSE)=0,"-",VLOOKUP(Tbl_Donnees[[#This Row],[Référence]]&amp;"",Tbl_Catalogue[],8,FALSE)),"-")</f>
        <v>3RV2011-1GA15</v>
      </c>
      <c r="N10" s="5" t="str">
        <f>IFERROR(IF(VLOOKUP(Tbl_Donnees[[#This Row],[Référence]]&amp;"",Tbl_Catalogue[],9,FALSE)=0,"-",VLOOKUP(Tbl_Donnees[[#This Row],[Référence]]&amp;"",Tbl_Catalogue[],9,FALSE)),"-")</f>
        <v>SIEMENS</v>
      </c>
      <c r="O10" s="5" t="str">
        <f>IFERROR(IF(VLOOKUP(Tbl_Donnees[[#This Row],[Référence]]&amp;"",Tbl_Catalogue[],11,FALSE)=0,"-",VLOOKUP(Tbl_Donnees[[#This Row],[Référence]]&amp;"",Tbl_Catalogue[],11,FALSE)),"-")</f>
        <v>-</v>
      </c>
      <c r="P10" s="2" t="str">
        <f>IFERROR(IF(VLOOKUP(Tbl_Donnees[[#This Row],[Référence]]&amp;"",Tbl_Catalogue[],12,FALSE)=0,"-",VLOOKUP(Tbl_Donnees[[#This Row],[Référence]]&amp;"",Tbl_Catalogue[],12,FALSE)),"-")</f>
        <v>ACTIF</v>
      </c>
      <c r="Q10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10" s="2"/>
    </row>
    <row r="11" spans="1:18" x14ac:dyDescent="0.2">
      <c r="A11" s="2" t="s">
        <v>3</v>
      </c>
      <c r="B11" s="5" t="s">
        <v>41</v>
      </c>
      <c r="C11" s="5" t="s">
        <v>60</v>
      </c>
      <c r="D11" s="6" t="str">
        <f>IFERROR(IF(VLOOKUP(Tbl_Donnees[[#This Row],[Référence]]&amp;"",Tbl_Catalogue[],3,FALSE)=0,"-",VLOOKUP(Tbl_Donnees[[#This Row],[Référence]]&amp;"",Tbl_Catalogue[],3,FALSE)),"-")</f>
        <v>DISJ. MOTEUR SIRIUS 3R</v>
      </c>
      <c r="E11" s="6">
        <v>1</v>
      </c>
      <c r="F11" s="6" t="str">
        <f>IFERROR(IF(VLOOKUP(Tbl_Donnees[[#This Row],[Référence]]&amp;"",Tbl_Catalogue[],2,FALSE)=0,"-",VLOOKUP(Tbl_Donnees[[#This Row],[Référence]]&amp;"",Tbl_Catalogue[],2,FALSE)),"-")</f>
        <v>SIEMENS</v>
      </c>
      <c r="G11" s="20" t="s">
        <v>168</v>
      </c>
      <c r="H11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11" s="2" t="str">
        <f>IFERROR(IF(VLOOKUP(Tbl_Donnees[[#This Row],[Référence]]&amp;"",Tbl_Catalogue[],5,FALSE)=0,"-",VLOOKUP(Tbl_Donnees[[#This Row],[Référence]]&amp;"",Tbl_Catalogue[],5,FALSE)),"INCONNU")</f>
        <v>OBSOLETE</v>
      </c>
      <c r="J1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https://sieportal.siemens.com/fr-fr/products-services/detail/3RV1021-1AA15?tree=CatalogTree</v>
      </c>
      <c r="K11" s="2" t="str">
        <f>IFERROR(IF(VLOOKUP(Tbl_Donnees[[#This Row],[Référence]]&amp;"",Tbl_Catalogue[],7,FALSE)=0,"-",VLOOKUP(Tbl_Donnees[[#This Row],[Référence]]&amp;"",Tbl_Catalogue[],7,FALSE)),"-")</f>
        <v>OUI</v>
      </c>
      <c r="L11" s="5" t="str">
        <f>IFERROR(IF(VLOOKUP(Tbl_Donnees[[#This Row],[Référence]]&amp;"",Tbl_Catalogue[],10,FALSE)=0,"-",VLOOKUP(Tbl_Donnees[[#This Row],[Référence]]&amp;"",Tbl_Catalogue[],10,FALSE)),"-")</f>
        <v>-</v>
      </c>
      <c r="M11" s="2" t="str">
        <f>IFERROR(IF(VLOOKUP(Tbl_Donnees[[#This Row],[Référence]]&amp;"",Tbl_Catalogue[],8,FALSE)=0,"-",VLOOKUP(Tbl_Donnees[[#This Row],[Référence]]&amp;"",Tbl_Catalogue[],8,FALSE)),"-")</f>
        <v>3RV2011-1AA15</v>
      </c>
      <c r="N11" s="5" t="str">
        <f>IFERROR(IF(VLOOKUP(Tbl_Donnees[[#This Row],[Référence]]&amp;"",Tbl_Catalogue[],9,FALSE)=0,"-",VLOOKUP(Tbl_Donnees[[#This Row],[Référence]]&amp;"",Tbl_Catalogue[],9,FALSE)),"-")</f>
        <v>SIEMENS</v>
      </c>
      <c r="O11" s="5" t="str">
        <f>IFERROR(IF(VLOOKUP(Tbl_Donnees[[#This Row],[Référence]]&amp;"",Tbl_Catalogue[],11,FALSE)=0,"-",VLOOKUP(Tbl_Donnees[[#This Row],[Référence]]&amp;"",Tbl_Catalogue[],11,FALSE)),"-")</f>
        <v>-</v>
      </c>
      <c r="P11" s="2" t="str">
        <f>IFERROR(IF(VLOOKUP(Tbl_Donnees[[#This Row],[Référence]]&amp;"",Tbl_Catalogue[],12,FALSE)=0,"-",VLOOKUP(Tbl_Donnees[[#This Row],[Référence]]&amp;"",Tbl_Catalogue[],12,FALSE)),"-")</f>
        <v>ACTIF</v>
      </c>
      <c r="Q11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11" s="2"/>
    </row>
    <row r="12" spans="1:18" x14ac:dyDescent="0.2">
      <c r="A12" s="2" t="s">
        <v>3</v>
      </c>
      <c r="B12" s="5" t="s">
        <v>41</v>
      </c>
      <c r="C12" s="5" t="s">
        <v>60</v>
      </c>
      <c r="D12" s="6" t="str">
        <f>IFERROR(IF(VLOOKUP(Tbl_Donnees[[#This Row],[Référence]]&amp;"",Tbl_Catalogue[],3,FALSE)=0,"-",VLOOKUP(Tbl_Donnees[[#This Row],[Référence]]&amp;"",Tbl_Catalogue[],3,FALSE)),"-")</f>
        <v>CONTACTEUR PUISSANCE</v>
      </c>
      <c r="E12" s="6">
        <v>1</v>
      </c>
      <c r="F12" s="6" t="str">
        <f>IFERROR(IF(VLOOKUP(Tbl_Donnees[[#This Row],[Référence]]&amp;"",Tbl_Catalogue[],2,FALSE)=0,"-",VLOOKUP(Tbl_Donnees[[#This Row],[Référence]]&amp;"",Tbl_Catalogue[],2,FALSE)),"-")</f>
        <v>SIEMENS</v>
      </c>
      <c r="G12" s="20" t="s">
        <v>54</v>
      </c>
      <c r="H12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12" s="2" t="str">
        <f>IFERROR(IF(VLOOKUP(Tbl_Donnees[[#This Row],[Référence]]&amp;"",Tbl_Catalogue[],5,FALSE)=0,"-",VLOOKUP(Tbl_Donnees[[#This Row],[Référence]]&amp;"",Tbl_Catalogue[],5,FALSE)),"INCONNU")</f>
        <v>OBSOLETE</v>
      </c>
      <c r="J1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https://sieportal.siemens.com/fr-fr/products-services/detail/3rt1016-1bb41?tree=CatalogTree</v>
      </c>
      <c r="K12" s="2" t="str">
        <f>IFERROR(IF(VLOOKUP(Tbl_Donnees[[#This Row],[Référence]]&amp;"",Tbl_Catalogue[],7,FALSE)=0,"-",VLOOKUP(Tbl_Donnees[[#This Row],[Référence]]&amp;"",Tbl_Catalogue[],7,FALSE)),"-")</f>
        <v>OUI</v>
      </c>
      <c r="L12" s="5" t="str">
        <f>IFERROR(IF(VLOOKUP(Tbl_Donnees[[#This Row],[Référence]]&amp;"",Tbl_Catalogue[],10,FALSE)=0,"-",VLOOKUP(Tbl_Donnees[[#This Row],[Référence]]&amp;"",Tbl_Catalogue[],10,FALSE)),"-")</f>
        <v>-</v>
      </c>
      <c r="M12" s="2" t="str">
        <f>IFERROR(IF(VLOOKUP(Tbl_Donnees[[#This Row],[Référence]]&amp;"",Tbl_Catalogue[],8,FALSE)=0,"-",VLOOKUP(Tbl_Donnees[[#This Row],[Référence]]&amp;"",Tbl_Catalogue[],8,FALSE)),"-")</f>
        <v>3RT2016-1BB41</v>
      </c>
      <c r="N12" s="5" t="str">
        <f>IFERROR(IF(VLOOKUP(Tbl_Donnees[[#This Row],[Référence]]&amp;"",Tbl_Catalogue[],9,FALSE)=0,"-",VLOOKUP(Tbl_Donnees[[#This Row],[Référence]]&amp;"",Tbl_Catalogue[],9,FALSE)),"-")</f>
        <v>SIEMENS</v>
      </c>
      <c r="O12" s="5" t="str">
        <f>IFERROR(IF(VLOOKUP(Tbl_Donnees[[#This Row],[Référence]]&amp;"",Tbl_Catalogue[],11,FALSE)=0,"-",VLOOKUP(Tbl_Donnees[[#This Row],[Référence]]&amp;"",Tbl_Catalogue[],11,FALSE)),"-")</f>
        <v>-</v>
      </c>
      <c r="P12" s="2" t="str">
        <f>IFERROR(IF(VLOOKUP(Tbl_Donnees[[#This Row],[Référence]]&amp;"",Tbl_Catalogue[],12,FALSE)=0,"-",VLOOKUP(Tbl_Donnees[[#This Row],[Référence]]&amp;"",Tbl_Catalogue[],12,FALSE)),"-")</f>
        <v>ACTIF</v>
      </c>
      <c r="Q12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https://sieportal.siemens.com/fr-fr/products-services/detail/3RT2016-1BB41?tree=CatalogTree</v>
      </c>
      <c r="R12" s="2"/>
    </row>
    <row r="13" spans="1:18" x14ac:dyDescent="0.2">
      <c r="A13" s="2" t="s">
        <v>3</v>
      </c>
      <c r="B13" s="5" t="s">
        <v>41</v>
      </c>
      <c r="C13" s="5" t="s">
        <v>60</v>
      </c>
      <c r="D13" s="6" t="str">
        <f>IFERROR(IF(VLOOKUP(Tbl_Donnees[[#This Row],[Référence]]&amp;"",Tbl_Catalogue[],3,FALSE)=0,"-",VLOOKUP(Tbl_Donnees[[#This Row],[Référence]]&amp;"",Tbl_Catalogue[],3,FALSE)),"-")</f>
        <v>PUPITRE IHM OP27</v>
      </c>
      <c r="E13" s="6">
        <v>1</v>
      </c>
      <c r="F13" s="6" t="str">
        <f>IFERROR(IF(VLOOKUP(Tbl_Donnees[[#This Row],[Référence]]&amp;"",Tbl_Catalogue[],2,FALSE)=0,"-",VLOOKUP(Tbl_Donnees[[#This Row],[Référence]]&amp;"",Tbl_Catalogue[],2,FALSE)),"-")</f>
        <v>SIEMENS</v>
      </c>
      <c r="G13" s="20" t="s">
        <v>170</v>
      </c>
      <c r="H13" s="6" t="str">
        <f>IFERROR(IF(VLOOKUP(Tbl_Donnees[[#This Row],[Référence]]&amp;"",Tbl_Catalogue[],4,FALSE)=0,"-",VLOOKUP(Tbl_Donnees[[#This Row],[Référence]]&amp;"",Tbl_Catalogue[],4,FALSE)),"-")</f>
        <v>Produit obsolète depuis le 01/10/2013</v>
      </c>
      <c r="I13" s="2" t="str">
        <f>IFERROR(IF(VLOOKUP(Tbl_Donnees[[#This Row],[Référence]]&amp;"",Tbl_Catalogue[],5,FALSE)=0,"-",VLOOKUP(Tbl_Donnees[[#This Row],[Référence]]&amp;"",Tbl_Catalogue[],5,FALSE)),"INCONNU")</f>
        <v>OBSOLETE</v>
      </c>
      <c r="J1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https://sieportal.siemens.com/fr-fr/products-services/detail/6AV3627-6LK00-0AA0?tree=CatalogTree</v>
      </c>
      <c r="K13" s="2" t="str">
        <f>IFERROR(IF(VLOOKUP(Tbl_Donnees[[#This Row],[Référence]]&amp;"",Tbl_Catalogue[],7,FALSE)=0,"-",VLOOKUP(Tbl_Donnees[[#This Row],[Référence]]&amp;"",Tbl_Catalogue[],7,FALSE)),"-")</f>
        <v>NON</v>
      </c>
      <c r="L13" s="5" t="str">
        <f>IFERROR(IF(VLOOKUP(Tbl_Donnees[[#This Row],[Référence]]&amp;"",Tbl_Catalogue[],10,FALSE)=0,"-",VLOOKUP(Tbl_Donnees[[#This Row],[Référence]]&amp;"",Tbl_Catalogue[],10,FALSE)),"-")</f>
        <v>-</v>
      </c>
      <c r="M13" s="2" t="str">
        <f>IFERROR(IF(VLOOKUP(Tbl_Donnees[[#This Row],[Référence]]&amp;"",Tbl_Catalogue[],8,FALSE)=0,"-",VLOOKUP(Tbl_Donnees[[#This Row],[Référence]]&amp;"",Tbl_Catalogue[],8,FALSE)),"-")</f>
        <v>-</v>
      </c>
      <c r="N13" s="5" t="str">
        <f>IFERROR(IF(VLOOKUP(Tbl_Donnees[[#This Row],[Référence]]&amp;"",Tbl_Catalogue[],9,FALSE)=0,"-",VLOOKUP(Tbl_Donnees[[#This Row],[Référence]]&amp;"",Tbl_Catalogue[],9,FALSE)),"-")</f>
        <v>-</v>
      </c>
      <c r="O13" s="5" t="str">
        <f>IFERROR(IF(VLOOKUP(Tbl_Donnees[[#This Row],[Référence]]&amp;"",Tbl_Catalogue[],11,FALSE)=0,"-",VLOOKUP(Tbl_Donnees[[#This Row],[Référence]]&amp;"",Tbl_Catalogue[],11,FALSE)),"-")</f>
        <v>-</v>
      </c>
      <c r="P13" s="2" t="str">
        <f>IFERROR(IF(VLOOKUP(Tbl_Donnees[[#This Row],[Référence]]&amp;"",Tbl_Catalogue[],12,FALSE)=0,"-",VLOOKUP(Tbl_Donnees[[#This Row],[Référence]]&amp;"",Tbl_Catalogue[],12,FALSE)),"-")</f>
        <v>-</v>
      </c>
      <c r="Q13" s="13" t="str">
        <f>IFERROR(IF(VLOOKUP(Tbl_Donnees[[#This Row],[Référence]]&amp;"",Tbl_Catalogue[],13,FALSE)=0,"-",VLOOKUP(Tbl_Donnees[[#This Row],[Référence]]&amp;"",Tbl_Catalogue[],13,FALSE)),"-")</f>
        <v>-</v>
      </c>
      <c r="R13" s="2"/>
    </row>
    <row r="14" spans="1:18" x14ac:dyDescent="0.2">
      <c r="A14" s="2" t="s">
        <v>3</v>
      </c>
      <c r="B14" s="5" t="s">
        <v>41</v>
      </c>
      <c r="C14" s="5" t="s">
        <v>60</v>
      </c>
      <c r="D14" s="6" t="str">
        <f>IFERROR(IF(VLOOKUP(Tbl_Donnees[[#This Row],[Référence]]&amp;"",Tbl_Catalogue[],3,FALSE)=0,"-",VLOOKUP(Tbl_Donnees[[#This Row],[Référence]]&amp;"",Tbl_Catalogue[],3,FALSE)),"-")</f>
        <v>INTERRUPTEUR DE SECURITE</v>
      </c>
      <c r="E14" s="6">
        <v>1</v>
      </c>
      <c r="F14" s="6" t="str">
        <f>IFERROR(IF(VLOOKUP(Tbl_Donnees[[#This Row],[Référence]]&amp;"",Tbl_Catalogue[],2,FALSE)=0,"-",VLOOKUP(Tbl_Donnees[[#This Row],[Référence]]&amp;"",Tbl_Catalogue[],2,FALSE)),"-")</f>
        <v>SCHMERSAL</v>
      </c>
      <c r="G14" s="20" t="s">
        <v>166</v>
      </c>
      <c r="H14" s="6" t="str">
        <f>IFERROR(IF(VLOOKUP(Tbl_Donnees[[#This Row],[Référence]]&amp;"",Tbl_Catalogue[],4,FALSE)=0,"-",VLOOKUP(Tbl_Donnees[[#This Row],[Référence]]&amp;"",Tbl_Catalogue[],4,FALSE)),"-")</f>
        <v>INCONNU</v>
      </c>
      <c r="I14" s="2" t="str">
        <f>IFERROR(IF(VLOOKUP(Tbl_Donnees[[#This Row],[Référence]]&amp;"",Tbl_Catalogue[],5,FALSE)=0,"-",VLOOKUP(Tbl_Donnees[[#This Row],[Référence]]&amp;"",Tbl_Catalogue[],5,FALSE)),"INCONNU")</f>
        <v>INCONNU</v>
      </c>
      <c r="J14" s="3" t="str">
        <f>IFERROR(IF(VLOOKUP(Tbl_Donnees[[#This Row],[Référence]]&amp;"",Tbl_Catalogue[],6,FALSE)=0,"-",VLOOKUP(Tbl_Donnees[[#This Row],[Référence]]&amp;"",Tbl_Catalogue[],6,FALSE)),"-")</f>
        <v>https://products.schmersal.com/de_DE/az-16-02zvk-m16-101154699.html</v>
      </c>
      <c r="K14" s="2" t="str">
        <f>IFERROR(IF(VLOOKUP(Tbl_Donnees[[#This Row],[Référence]]&amp;"",Tbl_Catalogue[],7,FALSE)=0,"-",VLOOKUP(Tbl_Donnees[[#This Row],[Référence]]&amp;"",Tbl_Catalogue[],7,FALSE)),"-")</f>
        <v>INCONNU</v>
      </c>
      <c r="L14" s="5" t="str">
        <f>IFERROR(IF(VLOOKUP(Tbl_Donnees[[#This Row],[Référence]]&amp;"",Tbl_Catalogue[],10,FALSE)=0,"-",VLOOKUP(Tbl_Donnees[[#This Row],[Référence]]&amp;"",Tbl_Catalogue[],10,FALSE)),"-")</f>
        <v>-</v>
      </c>
      <c r="M14" s="2" t="str">
        <f>IFERROR(IF(VLOOKUP(Tbl_Donnees[[#This Row],[Référence]]&amp;"",Tbl_Catalogue[],8,FALSE)=0,"-",VLOOKUP(Tbl_Donnees[[#This Row],[Référence]]&amp;"",Tbl_Catalogue[],8,FALSE)),"-")</f>
        <v>-</v>
      </c>
      <c r="N14" s="5" t="str">
        <f>IFERROR(IF(VLOOKUP(Tbl_Donnees[[#This Row],[Référence]]&amp;"",Tbl_Catalogue[],9,FALSE)=0,"-",VLOOKUP(Tbl_Donnees[[#This Row],[Référence]]&amp;"",Tbl_Catalogue[],9,FALSE)),"-")</f>
        <v>-</v>
      </c>
      <c r="O14" s="5" t="str">
        <f>IFERROR(IF(VLOOKUP(Tbl_Donnees[[#This Row],[Référence]]&amp;"",Tbl_Catalogue[],11,FALSE)=0,"-",VLOOKUP(Tbl_Donnees[[#This Row],[Référence]]&amp;"",Tbl_Catalogue[],11,FALSE)),"-")</f>
        <v>-</v>
      </c>
      <c r="P14" s="2" t="str">
        <f>IFERROR(IF(VLOOKUP(Tbl_Donnees[[#This Row],[Référence]]&amp;"",Tbl_Catalogue[],12,FALSE)=0,"-",VLOOKUP(Tbl_Donnees[[#This Row],[Référence]]&amp;"",Tbl_Catalogue[],12,FALSE)),"-")</f>
        <v>-</v>
      </c>
      <c r="Q14" s="13" t="str">
        <f>IFERROR(IF(VLOOKUP(Tbl_Donnees[[#This Row],[Référence]]&amp;"",Tbl_Catalogue[],13,FALSE)=0,"-",VLOOKUP(Tbl_Donnees[[#This Row],[Référence]]&amp;"",Tbl_Catalogue[],13,FALSE)),"-")</f>
        <v>-</v>
      </c>
      <c r="R14" s="2"/>
    </row>
    <row r="15" spans="1:18" x14ac:dyDescent="0.2">
      <c r="A15" s="2" t="s">
        <v>3</v>
      </c>
      <c r="B15" s="5" t="s">
        <v>41</v>
      </c>
      <c r="C15" s="5" t="s">
        <v>60</v>
      </c>
      <c r="D15" s="6" t="str">
        <f>IFERROR(IF(VLOOKUP(Tbl_Donnees[[#This Row],[Référence]]&amp;"",Tbl_Catalogue[],3,FALSE)=0,"-",VLOOKUP(Tbl_Donnees[[#This Row],[Référence]]&amp;"",Tbl_Catalogue[],3,FALSE)),"-")</f>
        <v>MOT. ASYNCHRONE TRIPHASE</v>
      </c>
      <c r="E15" s="6">
        <v>1</v>
      </c>
      <c r="F15" s="6" t="str">
        <f>IFERROR(IF(VLOOKUP(Tbl_Donnees[[#This Row],[Référence]]&amp;"",Tbl_Catalogue[],2,FALSE)=0,"-",VLOOKUP(Tbl_Donnees[[#This Row],[Référence]]&amp;"",Tbl_Catalogue[],2,FALSE)),"-")</f>
        <v>ROGNONI</v>
      </c>
      <c r="G15" s="20" t="s">
        <v>49</v>
      </c>
      <c r="H15" s="6" t="str">
        <f>IFERROR(IF(VLOOKUP(Tbl_Donnees[[#This Row],[Référence]]&amp;"",Tbl_Catalogue[],4,FALSE)=0,"-",VLOOKUP(Tbl_Donnees[[#This Row],[Référence]]&amp;"",Tbl_Catalogue[],4,FALSE)),"-")</f>
        <v>Obsolète</v>
      </c>
      <c r="I15" s="2" t="str">
        <f>IFERROR(IF(VLOOKUP(Tbl_Donnees[[#This Row],[Référence]]&amp;"",Tbl_Catalogue[],5,FALSE)=0,"-",VLOOKUP(Tbl_Donnees[[#This Row],[Référence]]&amp;"",Tbl_Catalogue[],5,FALSE)),"INCONNU")</f>
        <v>OBSOLETE</v>
      </c>
      <c r="J15" s="3" t="str">
        <f>IFERROR(IF(VLOOKUP(Tbl_Donnees[[#This Row],[Référence]]&amp;"",Tbl_Catalogue[],6,FALSE)=0,"-",VLOOKUP(Tbl_Donnees[[#This Row],[Référence]]&amp;"",Tbl_Catalogue[],6,FALSE)),"-")</f>
        <v>-</v>
      </c>
      <c r="K15" s="2" t="str">
        <f>IFERROR(IF(VLOOKUP(Tbl_Donnees[[#This Row],[Référence]]&amp;"",Tbl_Catalogue[],7,FALSE)=0,"-",VLOOKUP(Tbl_Donnees[[#This Row],[Référence]]&amp;"",Tbl_Catalogue[],7,FALSE)),"-")</f>
        <v>INCONNU</v>
      </c>
      <c r="L15" s="5" t="str">
        <f>IFERROR(IF(VLOOKUP(Tbl_Donnees[[#This Row],[Référence]]&amp;"",Tbl_Catalogue[],10,FALSE)=0,"-",VLOOKUP(Tbl_Donnees[[#This Row],[Référence]]&amp;"",Tbl_Catalogue[],10,FALSE)),"-")</f>
        <v>-</v>
      </c>
      <c r="M15" s="2" t="str">
        <f>IFERROR(IF(VLOOKUP(Tbl_Donnees[[#This Row],[Référence]]&amp;"",Tbl_Catalogue[],8,FALSE)=0,"-",VLOOKUP(Tbl_Donnees[[#This Row],[Référence]]&amp;"",Tbl_Catalogue[],8,FALSE)),"-")</f>
        <v>-</v>
      </c>
      <c r="N15" s="5" t="str">
        <f>IFERROR(IF(VLOOKUP(Tbl_Donnees[[#This Row],[Référence]]&amp;"",Tbl_Catalogue[],9,FALSE)=0,"-",VLOOKUP(Tbl_Donnees[[#This Row],[Référence]]&amp;"",Tbl_Catalogue[],9,FALSE)),"-")</f>
        <v>-</v>
      </c>
      <c r="O15" s="5" t="str">
        <f>IFERROR(IF(VLOOKUP(Tbl_Donnees[[#This Row],[Référence]]&amp;"",Tbl_Catalogue[],11,FALSE)=0,"-",VLOOKUP(Tbl_Donnees[[#This Row],[Référence]]&amp;"",Tbl_Catalogue[],11,FALSE)),"-")</f>
        <v>-</v>
      </c>
      <c r="P15" s="2" t="str">
        <f>IFERROR(IF(VLOOKUP(Tbl_Donnees[[#This Row],[Référence]]&amp;"",Tbl_Catalogue[],12,FALSE)=0,"-",VLOOKUP(Tbl_Donnees[[#This Row],[Référence]]&amp;"",Tbl_Catalogue[],12,FALSE)),"-")</f>
        <v>-</v>
      </c>
      <c r="Q15" s="13" t="str">
        <f>IFERROR(IF(VLOOKUP(Tbl_Donnees[[#This Row],[Référence]]&amp;"",Tbl_Catalogue[],13,FALSE)=0,"-",VLOOKUP(Tbl_Donnees[[#This Row],[Référence]]&amp;"",Tbl_Catalogue[],13,FALSE)),"-")</f>
        <v>-</v>
      </c>
      <c r="R15" s="2"/>
    </row>
    <row r="16" spans="1:18" ht="20.399999999999999" x14ac:dyDescent="0.2">
      <c r="A16" s="2" t="s">
        <v>3</v>
      </c>
      <c r="B16" s="5" t="s">
        <v>41</v>
      </c>
      <c r="C16" s="5" t="s">
        <v>60</v>
      </c>
      <c r="D16" s="6" t="str">
        <f>IFERROR(IF(VLOOKUP(Tbl_Donnees[[#This Row],[Référence]]&amp;"",Tbl_Catalogue[],3,FALSE)=0,"-",VLOOKUP(Tbl_Donnees[[#This Row],[Référence]]&amp;"",Tbl_Catalogue[],3,FALSE)),"-")</f>
        <v>MODULE ELECTRONIQUE RTS105M</v>
      </c>
      <c r="E16" s="6">
        <v>1</v>
      </c>
      <c r="F16" s="6" t="str">
        <f>IFERROR(IF(VLOOKUP(Tbl_Donnees[[#This Row],[Référence]]&amp;"",Tbl_Catalogue[],2,FALSE)=0,"-",VLOOKUP(Tbl_Donnees[[#This Row],[Référence]]&amp;"",Tbl_Catalogue[],2,FALSE)),"-")</f>
        <v>PARSEC</v>
      </c>
      <c r="G16" s="20" t="s">
        <v>162</v>
      </c>
      <c r="H16" s="6" t="str">
        <f>IFERROR(IF(VLOOKUP(Tbl_Donnees[[#This Row],[Référence]]&amp;"",Tbl_Catalogue[],4,FALSE)=0,"-",VLOOKUP(Tbl_Donnees[[#This Row],[Référence]]&amp;"",Tbl_Catalogue[],4,FALSE)),"-")</f>
        <v>INCONNU</v>
      </c>
      <c r="I16" s="2" t="str">
        <f>IFERROR(IF(VLOOKUP(Tbl_Donnees[[#This Row],[Référence]]&amp;"",Tbl_Catalogue[],5,FALSE)=0,"-",VLOOKUP(Tbl_Donnees[[#This Row],[Référence]]&amp;"",Tbl_Catalogue[],5,FALSE)),"INCONNU")</f>
        <v>INCONNU</v>
      </c>
      <c r="J16" s="3" t="str">
        <f>IFERROR(IF(VLOOKUP(Tbl_Donnees[[#This Row],[Référence]]&amp;"",Tbl_Catalogue[],6,FALSE)=0,"-",VLOOKUP(Tbl_Donnees[[#This Row],[Référence]]&amp;"",Tbl_Catalogue[],6,FALSE)),"-")</f>
        <v>-</v>
      </c>
      <c r="K16" s="2" t="str">
        <f>IFERROR(IF(VLOOKUP(Tbl_Donnees[[#This Row],[Référence]]&amp;"",Tbl_Catalogue[],7,FALSE)=0,"-",VLOOKUP(Tbl_Donnees[[#This Row],[Référence]]&amp;"",Tbl_Catalogue[],7,FALSE)),"-")</f>
        <v>INCONNU</v>
      </c>
      <c r="L16" s="5" t="str">
        <f>IFERROR(IF(VLOOKUP(Tbl_Donnees[[#This Row],[Référence]]&amp;"",Tbl_Catalogue[],10,FALSE)=0,"-",VLOOKUP(Tbl_Donnees[[#This Row],[Référence]]&amp;"",Tbl_Catalogue[],10,FALSE)),"-")</f>
        <v>-</v>
      </c>
      <c r="M16" s="2" t="str">
        <f>IFERROR(IF(VLOOKUP(Tbl_Donnees[[#This Row],[Référence]]&amp;"",Tbl_Catalogue[],8,FALSE)=0,"-",VLOOKUP(Tbl_Donnees[[#This Row],[Référence]]&amp;"",Tbl_Catalogue[],8,FALSE)),"-")</f>
        <v>-</v>
      </c>
      <c r="N16" s="5" t="str">
        <f>IFERROR(IF(VLOOKUP(Tbl_Donnees[[#This Row],[Référence]]&amp;"",Tbl_Catalogue[],9,FALSE)=0,"-",VLOOKUP(Tbl_Donnees[[#This Row],[Référence]]&amp;"",Tbl_Catalogue[],9,FALSE)),"-")</f>
        <v>-</v>
      </c>
      <c r="O16" s="5" t="str">
        <f>IFERROR(IF(VLOOKUP(Tbl_Donnees[[#This Row],[Référence]]&amp;"",Tbl_Catalogue[],11,FALSE)=0,"-",VLOOKUP(Tbl_Donnees[[#This Row],[Référence]]&amp;"",Tbl_Catalogue[],11,FALSE)),"-")</f>
        <v>-</v>
      </c>
      <c r="P16" s="2" t="str">
        <f>IFERROR(IF(VLOOKUP(Tbl_Donnees[[#This Row],[Référence]]&amp;"",Tbl_Catalogue[],12,FALSE)=0,"-",VLOOKUP(Tbl_Donnees[[#This Row],[Référence]]&amp;"",Tbl_Catalogue[],12,FALSE)),"-")</f>
        <v>-</v>
      </c>
      <c r="Q16" s="13" t="str">
        <f>IFERROR(IF(VLOOKUP(Tbl_Donnees[[#This Row],[Référence]]&amp;"",Tbl_Catalogue[],13,FALSE)=0,"-",VLOOKUP(Tbl_Donnees[[#This Row],[Référence]]&amp;"",Tbl_Catalogue[],13,FALSE)),"-")</f>
        <v>-</v>
      </c>
      <c r="R16" s="2"/>
    </row>
    <row r="17" spans="1:18" x14ac:dyDescent="0.2">
      <c r="A17" s="2" t="s">
        <v>3</v>
      </c>
      <c r="B17" s="5" t="s">
        <v>41</v>
      </c>
      <c r="C17" s="5" t="s">
        <v>60</v>
      </c>
      <c r="D17" s="6" t="str">
        <f>IFERROR(IF(VLOOKUP(Tbl_Donnees[[#This Row],[Référence]]&amp;"",Tbl_Catalogue[],3,FALSE)=0,"-",VLOOKUP(Tbl_Donnees[[#This Row],[Référence]]&amp;"",Tbl_Catalogue[],3,FALSE)),"-")</f>
        <v xml:space="preserve">RELAIS STATIQUE </v>
      </c>
      <c r="E17" s="6">
        <v>7</v>
      </c>
      <c r="F17" s="6" t="str">
        <f>IFERROR(IF(VLOOKUP(Tbl_Donnees[[#This Row],[Référence]]&amp;"",Tbl_Catalogue[],2,FALSE)=0,"-",VLOOKUP(Tbl_Donnees[[#This Row],[Référence]]&amp;"",Tbl_Catalogue[],2,FALSE)),"-")</f>
        <v>ELCO SRL</v>
      </c>
      <c r="G17" s="20" t="s">
        <v>50</v>
      </c>
      <c r="H17" s="6" t="str">
        <f>IFERROR(IF(VLOOKUP(Tbl_Donnees[[#This Row],[Référence]]&amp;"",Tbl_Catalogue[],4,FALSE)=0,"-",VLOOKUP(Tbl_Donnees[[#This Row],[Référence]]&amp;"",Tbl_Catalogue[],4,FALSE)),"-")</f>
        <v>INCONNU</v>
      </c>
      <c r="I17" s="2" t="str">
        <f>IFERROR(IF(VLOOKUP(Tbl_Donnees[[#This Row],[Référence]]&amp;"",Tbl_Catalogue[],5,FALSE)=0,"-",VLOOKUP(Tbl_Donnees[[#This Row],[Référence]]&amp;"",Tbl_Catalogue[],5,FALSE)),"INCONNU")</f>
        <v>INCONNU</v>
      </c>
      <c r="J17" s="3" t="str">
        <f>IFERROR(IF(VLOOKUP(Tbl_Donnees[[#This Row],[Référence]]&amp;"",Tbl_Catalogue[],6,FALSE)=0,"-",VLOOKUP(Tbl_Donnees[[#This Row],[Référence]]&amp;"",Tbl_Catalogue[],6,FALSE)),"-")</f>
        <v>https://www.elco-italy.com/prodotti/ssr-91-series-solid-state-relays/</v>
      </c>
      <c r="K17" s="2" t="str">
        <f>IFERROR(IF(VLOOKUP(Tbl_Donnees[[#This Row],[Référence]]&amp;"",Tbl_Catalogue[],7,FALSE)=0,"-",VLOOKUP(Tbl_Donnees[[#This Row],[Référence]]&amp;"",Tbl_Catalogue[],7,FALSE)),"-")</f>
        <v>INCONNU</v>
      </c>
      <c r="L17" s="5" t="str">
        <f>IFERROR(IF(VLOOKUP(Tbl_Donnees[[#This Row],[Référence]]&amp;"",Tbl_Catalogue[],10,FALSE)=0,"-",VLOOKUP(Tbl_Donnees[[#This Row],[Référence]]&amp;"",Tbl_Catalogue[],10,FALSE)),"-")</f>
        <v>-</v>
      </c>
      <c r="M17" s="2" t="str">
        <f>IFERROR(IF(VLOOKUP(Tbl_Donnees[[#This Row],[Référence]]&amp;"",Tbl_Catalogue[],8,FALSE)=0,"-",VLOOKUP(Tbl_Donnees[[#This Row],[Référence]]&amp;"",Tbl_Catalogue[],8,FALSE)),"-")</f>
        <v>-</v>
      </c>
      <c r="N17" s="5" t="str">
        <f>IFERROR(IF(VLOOKUP(Tbl_Donnees[[#This Row],[Référence]]&amp;"",Tbl_Catalogue[],9,FALSE)=0,"-",VLOOKUP(Tbl_Donnees[[#This Row],[Référence]]&amp;"",Tbl_Catalogue[],9,FALSE)),"-")</f>
        <v>-</v>
      </c>
      <c r="O17" s="5" t="str">
        <f>IFERROR(IF(VLOOKUP(Tbl_Donnees[[#This Row],[Référence]]&amp;"",Tbl_Catalogue[],11,FALSE)=0,"-",VLOOKUP(Tbl_Donnees[[#This Row],[Référence]]&amp;"",Tbl_Catalogue[],11,FALSE)),"-")</f>
        <v>-</v>
      </c>
      <c r="P17" s="2" t="str">
        <f>IFERROR(IF(VLOOKUP(Tbl_Donnees[[#This Row],[Référence]]&amp;"",Tbl_Catalogue[],12,FALSE)=0,"-",VLOOKUP(Tbl_Donnees[[#This Row],[Référence]]&amp;"",Tbl_Catalogue[],12,FALSE)),"-")</f>
        <v>-</v>
      </c>
      <c r="Q17" s="13" t="str">
        <f>IFERROR(IF(VLOOKUP(Tbl_Donnees[[#This Row],[Référence]]&amp;"",Tbl_Catalogue[],13,FALSE)=0,"-",VLOOKUP(Tbl_Donnees[[#This Row],[Référence]]&amp;"",Tbl_Catalogue[],13,FALSE)),"-")</f>
        <v>-</v>
      </c>
      <c r="R17" s="5"/>
    </row>
    <row r="18" spans="1:18" x14ac:dyDescent="0.2">
      <c r="A18" s="2" t="s">
        <v>3</v>
      </c>
      <c r="B18" s="5" t="s">
        <v>41</v>
      </c>
      <c r="C18" s="5" t="s">
        <v>60</v>
      </c>
      <c r="D18" s="6" t="str">
        <f>IFERROR(IF(VLOOKUP(Tbl_Donnees[[#This Row],[Référence]]&amp;"",Tbl_Catalogue[],3,FALSE)=0,"-",VLOOKUP(Tbl_Donnees[[#This Row],[Référence]]&amp;"",Tbl_Catalogue[],3,FALSE)),"-")</f>
        <v>COMMUTATEUR ARRET/MARCHE</v>
      </c>
      <c r="E18" s="6">
        <v>1</v>
      </c>
      <c r="F18" s="6" t="str">
        <f>IFERROR(IF(VLOOKUP(Tbl_Donnees[[#This Row],[Référence]]&amp;"",Tbl_Catalogue[],2,FALSE)=0,"-",VLOOKUP(Tbl_Donnees[[#This Row],[Référence]]&amp;"",Tbl_Catalogue[],2,FALSE)),"-")</f>
        <v>EATON</v>
      </c>
      <c r="G18" s="20" t="s">
        <v>172</v>
      </c>
      <c r="H18" s="6" t="str">
        <f>IFERROR(IF(VLOOKUP(Tbl_Donnees[[#This Row],[Référence]]&amp;"",Tbl_Catalogue[],4,FALSE)=0,"-",VLOOKUP(Tbl_Donnees[[#This Row],[Référence]]&amp;"",Tbl_Catalogue[],4,FALSE)),"-")</f>
        <v>INCONNU</v>
      </c>
      <c r="I18" s="2" t="str">
        <f>IFERROR(IF(VLOOKUP(Tbl_Donnees[[#This Row],[Référence]]&amp;"",Tbl_Catalogue[],5,FALSE)=0,"-",VLOOKUP(Tbl_Donnees[[#This Row],[Référence]]&amp;"",Tbl_Catalogue[],5,FALSE)),"INCONNU")</f>
        <v>INCONNU</v>
      </c>
      <c r="J18" s="3" t="str">
        <f>IFERROR(IF(VLOOKUP(Tbl_Donnees[[#This Row],[Référence]]&amp;"",Tbl_Catalogue[],6,FALSE)=0,"-",VLOOKUP(Tbl_Donnees[[#This Row],[Référence]]&amp;"",Tbl_Catalogue[],6,FALSE)),"-")</f>
        <v>???</v>
      </c>
      <c r="K18" s="2" t="str">
        <f>IFERROR(IF(VLOOKUP(Tbl_Donnees[[#This Row],[Référence]]&amp;"",Tbl_Catalogue[],7,FALSE)=0,"-",VLOOKUP(Tbl_Donnees[[#This Row],[Référence]]&amp;"",Tbl_Catalogue[],7,FALSE)),"-")</f>
        <v>INCONNU</v>
      </c>
      <c r="L18" s="5" t="str">
        <f>IFERROR(IF(VLOOKUP(Tbl_Donnees[[#This Row],[Référence]]&amp;"",Tbl_Catalogue[],10,FALSE)=0,"-",VLOOKUP(Tbl_Donnees[[#This Row],[Référence]]&amp;"",Tbl_Catalogue[],10,FALSE)),"-")</f>
        <v>-</v>
      </c>
      <c r="M18" s="2" t="str">
        <f>IFERROR(IF(VLOOKUP(Tbl_Donnees[[#This Row],[Référence]]&amp;"",Tbl_Catalogue[],8,FALSE)=0,"-",VLOOKUP(Tbl_Donnees[[#This Row],[Référence]]&amp;"",Tbl_Catalogue[],8,FALSE)),"-")</f>
        <v>-</v>
      </c>
      <c r="N18" s="5" t="str">
        <f>IFERROR(IF(VLOOKUP(Tbl_Donnees[[#This Row],[Référence]]&amp;"",Tbl_Catalogue[],9,FALSE)=0,"-",VLOOKUP(Tbl_Donnees[[#This Row],[Référence]]&amp;"",Tbl_Catalogue[],9,FALSE)),"-")</f>
        <v>-</v>
      </c>
      <c r="O18" s="5" t="str">
        <f>IFERROR(IF(VLOOKUP(Tbl_Donnees[[#This Row],[Référence]]&amp;"",Tbl_Catalogue[],11,FALSE)=0,"-",VLOOKUP(Tbl_Donnees[[#This Row],[Référence]]&amp;"",Tbl_Catalogue[],11,FALSE)),"-")</f>
        <v>-</v>
      </c>
      <c r="P18" s="2" t="str">
        <f>IFERROR(IF(VLOOKUP(Tbl_Donnees[[#This Row],[Référence]]&amp;"",Tbl_Catalogue[],12,FALSE)=0,"-",VLOOKUP(Tbl_Donnees[[#This Row],[Référence]]&amp;"",Tbl_Catalogue[],12,FALSE)),"-")</f>
        <v>-</v>
      </c>
      <c r="Q18" s="13" t="str">
        <f>IFERROR(IF(VLOOKUP(Tbl_Donnees[[#This Row],[Référence]]&amp;"",Tbl_Catalogue[],13,FALSE)=0,"-",VLOOKUP(Tbl_Donnees[[#This Row],[Référence]]&amp;"",Tbl_Catalogue[],13,FALSE)),"-")</f>
        <v>-</v>
      </c>
      <c r="R18" s="2"/>
    </row>
    <row r="19" spans="1:18" x14ac:dyDescent="0.2">
      <c r="A19" s="2" t="s">
        <v>3</v>
      </c>
      <c r="B19" s="5" t="s">
        <v>41</v>
      </c>
      <c r="C19" s="5" t="s">
        <v>60</v>
      </c>
      <c r="D19" s="6" t="str">
        <f>IFERROR(IF(VLOOKUP(Tbl_Donnees[[#This Row],[Référence]]&amp;"",Tbl_Catalogue[],3,FALSE)=0,"-",VLOOKUP(Tbl_Donnees[[#This Row],[Référence]]&amp;"",Tbl_Catalogue[],3,FALSE)),"-")</f>
        <v>ALIM. STABILISEE 24VCC</v>
      </c>
      <c r="E19" s="6">
        <v>1</v>
      </c>
      <c r="F19" s="6" t="str">
        <f>IFERROR(IF(VLOOKUP(Tbl_Donnees[[#This Row],[Référence]]&amp;"",Tbl_Catalogue[],2,FALSE)=0,"-",VLOOKUP(Tbl_Donnees[[#This Row],[Référence]]&amp;"",Tbl_Catalogue[],2,FALSE)),"-")</f>
        <v>DETAS</v>
      </c>
      <c r="G19" s="20" t="s">
        <v>52</v>
      </c>
      <c r="H19" s="6" t="str">
        <f>IFERROR(IF(VLOOKUP(Tbl_Donnees[[#This Row],[Référence]]&amp;"",Tbl_Catalogue[],4,FALSE)=0,"-",VLOOKUP(Tbl_Donnees[[#This Row],[Référence]]&amp;"",Tbl_Catalogue[],4,FALSE)),"-")</f>
        <v>INCONNU</v>
      </c>
      <c r="I19" s="2" t="str">
        <f>IFERROR(IF(VLOOKUP(Tbl_Donnees[[#This Row],[Référence]]&amp;"",Tbl_Catalogue[],5,FALSE)=0,"-",VLOOKUP(Tbl_Donnees[[#This Row],[Référence]]&amp;"",Tbl_Catalogue[],5,FALSE)),"INCONNU")</f>
        <v>INCONNU</v>
      </c>
      <c r="J19" s="3" t="str">
        <f>IFERROR(IF(VLOOKUP(Tbl_Donnees[[#This Row],[Référence]]&amp;"",Tbl_Catalogue[],6,FALSE)=0,"-",VLOOKUP(Tbl_Donnees[[#This Row],[Référence]]&amp;"",Tbl_Catalogue[],6,FALSE)),"-")</f>
        <v>-</v>
      </c>
      <c r="K19" s="2" t="str">
        <f>IFERROR(IF(VLOOKUP(Tbl_Donnees[[#This Row],[Référence]]&amp;"",Tbl_Catalogue[],7,FALSE)=0,"-",VLOOKUP(Tbl_Donnees[[#This Row],[Référence]]&amp;"",Tbl_Catalogue[],7,FALSE)),"-")</f>
        <v>INCONNU</v>
      </c>
      <c r="L19" s="5" t="str">
        <f>IFERROR(IF(VLOOKUP(Tbl_Donnees[[#This Row],[Référence]]&amp;"",Tbl_Catalogue[],10,FALSE)=0,"-",VLOOKUP(Tbl_Donnees[[#This Row],[Référence]]&amp;"",Tbl_Catalogue[],10,FALSE)),"-")</f>
        <v>-</v>
      </c>
      <c r="M19" s="2" t="str">
        <f>IFERROR(IF(VLOOKUP(Tbl_Donnees[[#This Row],[Référence]]&amp;"",Tbl_Catalogue[],8,FALSE)=0,"-",VLOOKUP(Tbl_Donnees[[#This Row],[Référence]]&amp;"",Tbl_Catalogue[],8,FALSE)),"-")</f>
        <v>-</v>
      </c>
      <c r="N19" s="5" t="str">
        <f>IFERROR(IF(VLOOKUP(Tbl_Donnees[[#This Row],[Référence]]&amp;"",Tbl_Catalogue[],9,FALSE)=0,"-",VLOOKUP(Tbl_Donnees[[#This Row],[Référence]]&amp;"",Tbl_Catalogue[],9,FALSE)),"-")</f>
        <v>-</v>
      </c>
      <c r="O19" s="5" t="str">
        <f>IFERROR(IF(VLOOKUP(Tbl_Donnees[[#This Row],[Référence]]&amp;"",Tbl_Catalogue[],11,FALSE)=0,"-",VLOOKUP(Tbl_Donnees[[#This Row],[Référence]]&amp;"",Tbl_Catalogue[],11,FALSE)),"-")</f>
        <v>-</v>
      </c>
      <c r="P19" s="2" t="str">
        <f>IFERROR(IF(VLOOKUP(Tbl_Donnees[[#This Row],[Référence]]&amp;"",Tbl_Catalogue[],12,FALSE)=0,"-",VLOOKUP(Tbl_Donnees[[#This Row],[Référence]]&amp;"",Tbl_Catalogue[],12,FALSE)),"-")</f>
        <v>-</v>
      </c>
      <c r="Q19" s="13" t="str">
        <f>IFERROR(IF(VLOOKUP(Tbl_Donnees[[#This Row],[Référence]]&amp;"",Tbl_Catalogue[],13,FALSE)=0,"-",VLOOKUP(Tbl_Donnees[[#This Row],[Référence]]&amp;"",Tbl_Catalogue[],13,FALSE)),"-")</f>
        <v>-</v>
      </c>
      <c r="R19" s="5"/>
    </row>
    <row r="20" spans="1:18" x14ac:dyDescent="0.2">
      <c r="A20" s="2" t="s">
        <v>3</v>
      </c>
      <c r="B20" s="5" t="s">
        <v>41</v>
      </c>
      <c r="C20" s="5" t="s">
        <v>60</v>
      </c>
      <c r="D20" s="6" t="str">
        <f>IFERROR(IF(VLOOKUP(Tbl_Donnees[[#This Row],[Référence]]&amp;"",Tbl_Catalogue[],3,FALSE)=0,"-",VLOOKUP(Tbl_Donnees[[#This Row],[Référence]]&amp;"",Tbl_Catalogue[],3,FALSE)),"-")</f>
        <v>PRESSOSTAT PNEUMATIQUE</v>
      </c>
      <c r="E20" s="6">
        <v>1</v>
      </c>
      <c r="F20" s="6" t="str">
        <f>IFERROR(IF(VLOOKUP(Tbl_Donnees[[#This Row],[Référence]]&amp;"",Tbl_Catalogue[],2,FALSE)=0,"-",VLOOKUP(Tbl_Donnees[[#This Row],[Référence]]&amp;"",Tbl_Catalogue[],2,FALSE)),"-")</f>
        <v>CAMOZZI</v>
      </c>
      <c r="G20" s="20" t="s">
        <v>47</v>
      </c>
      <c r="H20" s="6" t="str">
        <f>IFERROR(IF(VLOOKUP(Tbl_Donnees[[#This Row],[Référence]]&amp;"",Tbl_Catalogue[],4,FALSE)=0,"-",VLOOKUP(Tbl_Donnees[[#This Row],[Référence]]&amp;"",Tbl_Catalogue[],4,FALSE)),"-")</f>
        <v>Obsolète</v>
      </c>
      <c r="I20" s="2" t="str">
        <f>IFERROR(IF(VLOOKUP(Tbl_Donnees[[#This Row],[Référence]]&amp;"",Tbl_Catalogue[],5,FALSE)=0,"-",VLOOKUP(Tbl_Donnees[[#This Row],[Référence]]&amp;"",Tbl_Catalogue[],5,FALSE)),"INCONNU")</f>
        <v>OBSOLETE</v>
      </c>
      <c r="J20" s="3" t="str">
        <f>IFERROR(IF(VLOOKUP(Tbl_Donnees[[#This Row],[Référence]]&amp;"",Tbl_Catalogue[],6,FALSE)=0,"-",VLOOKUP(Tbl_Donnees[[#This Row],[Référence]]&amp;"",Tbl_Catalogue[],6,FALSE)),"-")</f>
        <v>-</v>
      </c>
      <c r="K20" s="2" t="str">
        <f>IFERROR(IF(VLOOKUP(Tbl_Donnees[[#This Row],[Référence]]&amp;"",Tbl_Catalogue[],7,FALSE)=0,"-",VLOOKUP(Tbl_Donnees[[#This Row],[Référence]]&amp;"",Tbl_Catalogue[],7,FALSE)),"-")</f>
        <v>INCONNU</v>
      </c>
      <c r="L20" s="5" t="str">
        <f>IFERROR(IF(VLOOKUP(Tbl_Donnees[[#This Row],[Référence]]&amp;"",Tbl_Catalogue[],10,FALSE)=0,"-",VLOOKUP(Tbl_Donnees[[#This Row],[Référence]]&amp;"",Tbl_Catalogue[],10,FALSE)),"-")</f>
        <v>-</v>
      </c>
      <c r="M20" s="2" t="str">
        <f>IFERROR(IF(VLOOKUP(Tbl_Donnees[[#This Row],[Référence]]&amp;"",Tbl_Catalogue[],8,FALSE)=0,"-",VLOOKUP(Tbl_Donnees[[#This Row],[Référence]]&amp;"",Tbl_Catalogue[],8,FALSE)),"-")</f>
        <v>-</v>
      </c>
      <c r="N20" s="5" t="str">
        <f>IFERROR(IF(VLOOKUP(Tbl_Donnees[[#This Row],[Référence]]&amp;"",Tbl_Catalogue[],9,FALSE)=0,"-",VLOOKUP(Tbl_Donnees[[#This Row],[Référence]]&amp;"",Tbl_Catalogue[],9,FALSE)),"-")</f>
        <v>-</v>
      </c>
      <c r="O20" s="5" t="str">
        <f>IFERROR(IF(VLOOKUP(Tbl_Donnees[[#This Row],[Référence]]&amp;"",Tbl_Catalogue[],11,FALSE)=0,"-",VLOOKUP(Tbl_Donnees[[#This Row],[Référence]]&amp;"",Tbl_Catalogue[],11,FALSE)),"-")</f>
        <v>-</v>
      </c>
      <c r="P20" s="2" t="str">
        <f>IFERROR(IF(VLOOKUP(Tbl_Donnees[[#This Row],[Référence]]&amp;"",Tbl_Catalogue[],12,FALSE)=0,"-",VLOOKUP(Tbl_Donnees[[#This Row],[Référence]]&amp;"",Tbl_Catalogue[],12,FALSE)),"-")</f>
        <v>-</v>
      </c>
      <c r="Q20" s="13" t="str">
        <f>IFERROR(IF(VLOOKUP(Tbl_Donnees[[#This Row],[Référence]]&amp;"",Tbl_Catalogue[],13,FALSE)=0,"-",VLOOKUP(Tbl_Donnees[[#This Row],[Référence]]&amp;"",Tbl_Catalogue[],13,FALSE)),"-")</f>
        <v>-</v>
      </c>
      <c r="R20" s="5"/>
    </row>
    <row r="21" spans="1:18" x14ac:dyDescent="0.2">
      <c r="A21" s="2" t="s">
        <v>3</v>
      </c>
      <c r="B21" s="5" t="s">
        <v>41</v>
      </c>
      <c r="C21" s="5" t="s">
        <v>60</v>
      </c>
      <c r="D21" s="6" t="str">
        <f>IFERROR(IF(VLOOKUP(Tbl_Donnees[[#This Row],[Référence]]&amp;"",Tbl_Catalogue[],3,FALSE)=0,"-",VLOOKUP(Tbl_Donnees[[#This Row],[Référence]]&amp;"",Tbl_Catalogue[],3,FALSE)),"-")</f>
        <v>PRESSOSTAT PNEUMATIQUE</v>
      </c>
      <c r="E21" s="6">
        <v>1</v>
      </c>
      <c r="F21" s="6" t="str">
        <f>IFERROR(IF(VLOOKUP(Tbl_Donnees[[#This Row],[Référence]]&amp;"",Tbl_Catalogue[],2,FALSE)=0,"-",VLOOKUP(Tbl_Donnees[[#This Row],[Référence]]&amp;"",Tbl_Catalogue[],2,FALSE)),"-")</f>
        <v>CAMOZZI</v>
      </c>
      <c r="G21" s="20" t="s">
        <v>159</v>
      </c>
      <c r="H21" s="6" t="str">
        <f>IFERROR(IF(VLOOKUP(Tbl_Donnees[[#This Row],[Référence]]&amp;"",Tbl_Catalogue[],4,FALSE)=0,"-",VLOOKUP(Tbl_Donnees[[#This Row],[Référence]]&amp;"",Tbl_Catalogue[],4,FALSE)),"-")</f>
        <v>Obsolète</v>
      </c>
      <c r="I21" s="2" t="str">
        <f>IFERROR(IF(VLOOKUP(Tbl_Donnees[[#This Row],[Référence]]&amp;"",Tbl_Catalogue[],5,FALSE)=0,"-",VLOOKUP(Tbl_Donnees[[#This Row],[Référence]]&amp;"",Tbl_Catalogue[],5,FALSE)),"INCONNU")</f>
        <v>OBSOLETE</v>
      </c>
      <c r="J21" s="3" t="str">
        <f>IFERROR(IF(VLOOKUP(Tbl_Donnees[[#This Row],[Référence]]&amp;"",Tbl_Catalogue[],6,FALSE)=0,"-",VLOOKUP(Tbl_Donnees[[#This Row],[Référence]]&amp;"",Tbl_Catalogue[],6,FALSE)),"-")</f>
        <v>-</v>
      </c>
      <c r="K21" s="2" t="str">
        <f>IFERROR(IF(VLOOKUP(Tbl_Donnees[[#This Row],[Référence]]&amp;"",Tbl_Catalogue[],7,FALSE)=0,"-",VLOOKUP(Tbl_Donnees[[#This Row],[Référence]]&amp;"",Tbl_Catalogue[],7,FALSE)),"-")</f>
        <v>INCONNU</v>
      </c>
      <c r="L21" s="5" t="str">
        <f>IFERROR(IF(VLOOKUP(Tbl_Donnees[[#This Row],[Référence]]&amp;"",Tbl_Catalogue[],10,FALSE)=0,"-",VLOOKUP(Tbl_Donnees[[#This Row],[Référence]]&amp;"",Tbl_Catalogue[],10,FALSE)),"-")</f>
        <v>-</v>
      </c>
      <c r="M21" s="2" t="str">
        <f>IFERROR(IF(VLOOKUP(Tbl_Donnees[[#This Row],[Référence]]&amp;"",Tbl_Catalogue[],8,FALSE)=0,"-",VLOOKUP(Tbl_Donnees[[#This Row],[Référence]]&amp;"",Tbl_Catalogue[],8,FALSE)),"-")</f>
        <v>-</v>
      </c>
      <c r="N21" s="5" t="str">
        <f>IFERROR(IF(VLOOKUP(Tbl_Donnees[[#This Row],[Référence]]&amp;"",Tbl_Catalogue[],9,FALSE)=0,"-",VLOOKUP(Tbl_Donnees[[#This Row],[Référence]]&amp;"",Tbl_Catalogue[],9,FALSE)),"-")</f>
        <v>-</v>
      </c>
      <c r="O21" s="5" t="str">
        <f>IFERROR(IF(VLOOKUP(Tbl_Donnees[[#This Row],[Référence]]&amp;"",Tbl_Catalogue[],11,FALSE)=0,"-",VLOOKUP(Tbl_Donnees[[#This Row],[Référence]]&amp;"",Tbl_Catalogue[],11,FALSE)),"-")</f>
        <v>-</v>
      </c>
      <c r="P21" s="2" t="str">
        <f>IFERROR(IF(VLOOKUP(Tbl_Donnees[[#This Row],[Référence]]&amp;"",Tbl_Catalogue[],12,FALSE)=0,"-",VLOOKUP(Tbl_Donnees[[#This Row],[Référence]]&amp;"",Tbl_Catalogue[],12,FALSE)),"-")</f>
        <v>-</v>
      </c>
      <c r="Q21" s="13" t="str">
        <f>IFERROR(IF(VLOOKUP(Tbl_Donnees[[#This Row],[Référence]]&amp;"",Tbl_Catalogue[],13,FALSE)=0,"-",VLOOKUP(Tbl_Donnees[[#This Row],[Référence]]&amp;"",Tbl_Catalogue[],13,FALSE)),"-")</f>
        <v>-</v>
      </c>
      <c r="R21" s="2"/>
    </row>
    <row r="22" spans="1:18" x14ac:dyDescent="0.2">
      <c r="A22" s="2" t="s">
        <v>3</v>
      </c>
      <c r="B22" s="5" t="s">
        <v>41</v>
      </c>
      <c r="C22" s="5" t="s">
        <v>60</v>
      </c>
      <c r="D22" s="6" t="str">
        <f>IFERROR(IF(VLOOKUP(Tbl_Donnees[[#This Row],[Référence]]&amp;"",Tbl_Catalogue[],3,FALSE)=0,"-",VLOOKUP(Tbl_Donnees[[#This Row],[Référence]]&amp;"",Tbl_Catalogue[],3,FALSE)),"-")</f>
        <v xml:space="preserve">INTER. FIN COURSE SECURITE </v>
      </c>
      <c r="E22" s="6">
        <v>2</v>
      </c>
      <c r="F22" s="6" t="str">
        <f>IFERROR(IF(VLOOKUP(Tbl_Donnees[[#This Row],[Référence]]&amp;"",Tbl_Catalogue[],2,FALSE)=0,"-",VLOOKUP(Tbl_Donnees[[#This Row],[Référence]]&amp;"",Tbl_Catalogue[],2,FALSE)),"-")</f>
        <v>BREMAS</v>
      </c>
      <c r="G22" s="20" t="s">
        <v>155</v>
      </c>
      <c r="H22" s="6" t="str">
        <f>IFERROR(IF(VLOOKUP(Tbl_Donnees[[#This Row],[Référence]]&amp;"",Tbl_Catalogue[],4,FALSE)=0,"-",VLOOKUP(Tbl_Donnees[[#This Row],[Référence]]&amp;"",Tbl_Catalogue[],4,FALSE)),"-")</f>
        <v>INCONNU</v>
      </c>
      <c r="I22" s="2" t="str">
        <f>IFERROR(IF(VLOOKUP(Tbl_Donnees[[#This Row],[Référence]]&amp;"",Tbl_Catalogue[],5,FALSE)=0,"-",VLOOKUP(Tbl_Donnees[[#This Row],[Référence]]&amp;"",Tbl_Catalogue[],5,FALSE)),"INCONNU")</f>
        <v>INCONNU</v>
      </c>
      <c r="J22" s="3" t="str">
        <f>IFERROR(IF(VLOOKUP(Tbl_Donnees[[#This Row],[Référence]]&amp;"",Tbl_Catalogue[],6,FALSE)=0,"-",VLOOKUP(Tbl_Donnees[[#This Row],[Référence]]&amp;"",Tbl_Catalogue[],6,FALSE)),"-")</f>
        <v>https://www.bremas.it/en/prodotto/E30000CM</v>
      </c>
      <c r="K22" s="2" t="str">
        <f>IFERROR(IF(VLOOKUP(Tbl_Donnees[[#This Row],[Référence]]&amp;"",Tbl_Catalogue[],7,FALSE)=0,"-",VLOOKUP(Tbl_Donnees[[#This Row],[Référence]]&amp;"",Tbl_Catalogue[],7,FALSE)),"-")</f>
        <v>INCONNU</v>
      </c>
      <c r="L22" s="5" t="str">
        <f>IFERROR(IF(VLOOKUP(Tbl_Donnees[[#This Row],[Référence]]&amp;"",Tbl_Catalogue[],10,FALSE)=0,"-",VLOOKUP(Tbl_Donnees[[#This Row],[Référence]]&amp;"",Tbl_Catalogue[],10,FALSE)),"-")</f>
        <v>-</v>
      </c>
      <c r="M22" s="2" t="str">
        <f>IFERROR(IF(VLOOKUP(Tbl_Donnees[[#This Row],[Référence]]&amp;"",Tbl_Catalogue[],8,FALSE)=0,"-",VLOOKUP(Tbl_Donnees[[#This Row],[Référence]]&amp;"",Tbl_Catalogue[],8,FALSE)),"-")</f>
        <v>-</v>
      </c>
      <c r="N22" s="5" t="str">
        <f>IFERROR(IF(VLOOKUP(Tbl_Donnees[[#This Row],[Référence]]&amp;"",Tbl_Catalogue[],9,FALSE)=0,"-",VLOOKUP(Tbl_Donnees[[#This Row],[Référence]]&amp;"",Tbl_Catalogue[],9,FALSE)),"-")</f>
        <v>-</v>
      </c>
      <c r="O22" s="5" t="str">
        <f>IFERROR(IF(VLOOKUP(Tbl_Donnees[[#This Row],[Référence]]&amp;"",Tbl_Catalogue[],11,FALSE)=0,"-",VLOOKUP(Tbl_Donnees[[#This Row],[Référence]]&amp;"",Tbl_Catalogue[],11,FALSE)),"-")</f>
        <v>-</v>
      </c>
      <c r="P22" s="2" t="str">
        <f>IFERROR(IF(VLOOKUP(Tbl_Donnees[[#This Row],[Référence]]&amp;"",Tbl_Catalogue[],12,FALSE)=0,"-",VLOOKUP(Tbl_Donnees[[#This Row],[Référence]]&amp;"",Tbl_Catalogue[],12,FALSE)),"-")</f>
        <v>-</v>
      </c>
      <c r="Q22" s="13" t="str">
        <f>IFERROR(IF(VLOOKUP(Tbl_Donnees[[#This Row],[Référence]]&amp;"",Tbl_Catalogue[],13,FALSE)=0,"-",VLOOKUP(Tbl_Donnees[[#This Row],[Référence]]&amp;"",Tbl_Catalogue[],13,FALSE)),"-")</f>
        <v>-</v>
      </c>
      <c r="R22" s="2"/>
    </row>
    <row r="23" spans="1:18" x14ac:dyDescent="0.2">
      <c r="A23" s="2" t="s">
        <v>3</v>
      </c>
      <c r="B23" s="5" t="s">
        <v>41</v>
      </c>
      <c r="C23" s="5" t="s">
        <v>140</v>
      </c>
      <c r="D23" s="6" t="str">
        <f>IFERROR(IF(VLOOKUP(Tbl_Donnees[[#This Row],[Référence]]&amp;"",Tbl_Catalogue[],3,FALSE)=0,"-",VLOOKUP(Tbl_Donnees[[#This Row],[Référence]]&amp;"",Tbl_Catalogue[],3,FALSE)),"-")</f>
        <v>MANOMETRE EN837-1</v>
      </c>
      <c r="E23" s="6">
        <v>1</v>
      </c>
      <c r="F23" s="6" t="str">
        <f>IFERROR(IF(VLOOKUP(Tbl_Donnees[[#This Row],[Référence]]&amp;"",Tbl_Catalogue[],2,FALSE)=0,"-",VLOOKUP(Tbl_Donnees[[#This Row],[Référence]]&amp;"",Tbl_Catalogue[],2,FALSE)),"-")</f>
        <v>WIKA</v>
      </c>
      <c r="G23" s="20" t="s">
        <v>184</v>
      </c>
      <c r="H23" s="6" t="str">
        <f>IFERROR(IF(VLOOKUP(Tbl_Donnees[[#This Row],[Référence]]&amp;"",Tbl_Catalogue[],4,FALSE)=0,"-",VLOOKUP(Tbl_Donnees[[#This Row],[Référence]]&amp;"",Tbl_Catalogue[],4,FALSE)),"-")</f>
        <v>Produit actif</v>
      </c>
      <c r="I23" s="2" t="str">
        <f>IFERROR(IF(VLOOKUP(Tbl_Donnees[[#This Row],[Référence]]&amp;"",Tbl_Catalogue[],5,FALSE)=0,"-",VLOOKUP(Tbl_Donnees[[#This Row],[Référence]]&amp;"",Tbl_Catalogue[],5,FALSE)),"INCONNU")</f>
        <v>ACTIF</v>
      </c>
      <c r="J23" s="3" t="str">
        <f>IFERROR(IF(VLOOKUP(Tbl_Donnees[[#This Row],[Référence]]&amp;"",Tbl_Catalogue[],6,FALSE)=0,"-",VLOOKUP(Tbl_Donnees[[#This Row],[Référence]]&amp;"",Tbl_Catalogue[],6,FALSE)),"-")</f>
        <v>https://www.wika.com/fr-fr/dss19f.WIKA?highlightedText=EN837-1</v>
      </c>
      <c r="K23" s="2" t="s">
        <v>783</v>
      </c>
      <c r="L23" s="5" t="str">
        <f>IFERROR(IF(VLOOKUP(Tbl_Donnees[[#This Row],[Référence]]&amp;"",Tbl_Catalogue[],10,FALSE)=0,"-",VLOOKUP(Tbl_Donnees[[#This Row],[Référence]]&amp;"",Tbl_Catalogue[],10,FALSE)),"-")</f>
        <v>-</v>
      </c>
      <c r="M23" s="2" t="str">
        <f>IFERROR(IF(VLOOKUP(Tbl_Donnees[[#This Row],[Référence]]&amp;"",Tbl_Catalogue[],8,FALSE)=0,"-",VLOOKUP(Tbl_Donnees[[#This Row],[Référence]]&amp;"",Tbl_Catalogue[],8,FALSE)),"-")</f>
        <v>-</v>
      </c>
      <c r="N23" s="5" t="str">
        <f>IFERROR(IF(VLOOKUP(Tbl_Donnees[[#This Row],[Référence]]&amp;"",Tbl_Catalogue[],9,FALSE)=0,"-",VLOOKUP(Tbl_Donnees[[#This Row],[Référence]]&amp;"",Tbl_Catalogue[],9,FALSE)),"-")</f>
        <v>-</v>
      </c>
      <c r="O23" s="5" t="str">
        <f>IFERROR(IF(VLOOKUP(Tbl_Donnees[[#This Row],[Référence]]&amp;"",Tbl_Catalogue[],11,FALSE)=0,"-",VLOOKUP(Tbl_Donnees[[#This Row],[Référence]]&amp;"",Tbl_Catalogue[],11,FALSE)),"-")</f>
        <v>-</v>
      </c>
      <c r="P23" s="2" t="str">
        <f>IFERROR(IF(VLOOKUP(Tbl_Donnees[[#This Row],[Référence]]&amp;"",Tbl_Catalogue[],12,FALSE)=0,"-",VLOOKUP(Tbl_Donnees[[#This Row],[Référence]]&amp;"",Tbl_Catalogue[],12,FALSE)),"-")</f>
        <v>-</v>
      </c>
      <c r="Q23" s="13" t="str">
        <f>IFERROR(IF(VLOOKUP(Tbl_Donnees[[#This Row],[Référence]]&amp;"",Tbl_Catalogue[],13,FALSE)=0,"-",VLOOKUP(Tbl_Donnees[[#This Row],[Référence]]&amp;"",Tbl_Catalogue[],13,FALSE)),"-")</f>
        <v>-</v>
      </c>
      <c r="R23" s="5"/>
    </row>
    <row r="24" spans="1:18" x14ac:dyDescent="0.2">
      <c r="A24" s="2" t="s">
        <v>3</v>
      </c>
      <c r="B24" s="5" t="s">
        <v>41</v>
      </c>
      <c r="C24" s="5" t="s">
        <v>140</v>
      </c>
      <c r="D24" s="6" t="str">
        <f>IFERROR(IF(VLOOKUP(Tbl_Donnees[[#This Row],[Référence]]&amp;"",Tbl_Catalogue[],3,FALSE)=0,"-",VLOOKUP(Tbl_Donnees[[#This Row],[Référence]]&amp;"",Tbl_Catalogue[],3,FALSE)),"-")</f>
        <v>DISTRIB. HYD. D1VW</v>
      </c>
      <c r="E24" s="6">
        <v>1</v>
      </c>
      <c r="F24" s="6" t="str">
        <f>IFERROR(IF(VLOOKUP(Tbl_Donnees[[#This Row],[Référence]]&amp;"",Tbl_Catalogue[],2,FALSE)=0,"-",VLOOKUP(Tbl_Donnees[[#This Row],[Référence]]&amp;"",Tbl_Catalogue[],2,FALSE)),"-")</f>
        <v>PARKER</v>
      </c>
      <c r="G24" s="20" t="s">
        <v>57</v>
      </c>
      <c r="H24" s="6" t="str">
        <f>IFERROR(IF(VLOOKUP(Tbl_Donnees[[#This Row],[Référence]]&amp;"",Tbl_Catalogue[],4,FALSE)=0,"-",VLOOKUP(Tbl_Donnees[[#This Row],[Référence]]&amp;"",Tbl_Catalogue[],4,FALSE)),"-")</f>
        <v>Obsolète</v>
      </c>
      <c r="I24" s="2" t="str">
        <f>IFERROR(IF(VLOOKUP(Tbl_Donnees[[#This Row],[Référence]]&amp;"",Tbl_Catalogue[],5,FALSE)=0,"-",VLOOKUP(Tbl_Donnees[[#This Row],[Référence]]&amp;"",Tbl_Catalogue[],5,FALSE)),"INCONNU")</f>
        <v>INCONNU</v>
      </c>
      <c r="J24" s="3" t="str">
        <f>IFERROR(IF(VLOOKUP(Tbl_Donnees[[#This Row],[Référence]]&amp;"",Tbl_Catalogue[],6,FALSE)=0,"-",VLOOKUP(Tbl_Donnees[[#This Row],[Référence]]&amp;"",Tbl_Catalogue[],6,FALSE)),"-")</f>
        <v>-</v>
      </c>
      <c r="K24" s="2" t="str">
        <f>IFERROR(IF(VLOOKUP(Tbl_Donnees[[#This Row],[Référence]]&amp;"",Tbl_Catalogue[],7,FALSE)=0,"-",VLOOKUP(Tbl_Donnees[[#This Row],[Référence]]&amp;"",Tbl_Catalogue[],7,FALSE)),"-")</f>
        <v>INCONNU</v>
      </c>
      <c r="L24" s="5" t="str">
        <f>IFERROR(IF(VLOOKUP(Tbl_Donnees[[#This Row],[Référence]]&amp;"",Tbl_Catalogue[],10,FALSE)=0,"-",VLOOKUP(Tbl_Donnees[[#This Row],[Référence]]&amp;"",Tbl_Catalogue[],10,FALSE)),"-")</f>
        <v>-</v>
      </c>
      <c r="M24" s="2" t="str">
        <f>IFERROR(IF(VLOOKUP(Tbl_Donnees[[#This Row],[Référence]]&amp;"",Tbl_Catalogue[],8,FALSE)=0,"-",VLOOKUP(Tbl_Donnees[[#This Row],[Référence]]&amp;"",Tbl_Catalogue[],8,FALSE)),"-")</f>
        <v>-</v>
      </c>
      <c r="N24" s="5" t="str">
        <f>IFERROR(IF(VLOOKUP(Tbl_Donnees[[#This Row],[Référence]]&amp;"",Tbl_Catalogue[],9,FALSE)=0,"-",VLOOKUP(Tbl_Donnees[[#This Row],[Référence]]&amp;"",Tbl_Catalogue[],9,FALSE)),"-")</f>
        <v>-</v>
      </c>
      <c r="O24" s="5" t="str">
        <f>IFERROR(IF(VLOOKUP(Tbl_Donnees[[#This Row],[Référence]]&amp;"",Tbl_Catalogue[],11,FALSE)=0,"-",VLOOKUP(Tbl_Donnees[[#This Row],[Référence]]&amp;"",Tbl_Catalogue[],11,FALSE)),"-")</f>
        <v>-</v>
      </c>
      <c r="P24" s="2" t="str">
        <f>IFERROR(IF(VLOOKUP(Tbl_Donnees[[#This Row],[Référence]]&amp;"",Tbl_Catalogue[],12,FALSE)=0,"-",VLOOKUP(Tbl_Donnees[[#This Row],[Référence]]&amp;"",Tbl_Catalogue[],12,FALSE)),"-")</f>
        <v>-</v>
      </c>
      <c r="Q24" s="13" t="str">
        <f>IFERROR(IF(VLOOKUP(Tbl_Donnees[[#This Row],[Référence]]&amp;"",Tbl_Catalogue[],13,FALSE)=0,"-",VLOOKUP(Tbl_Donnees[[#This Row],[Référence]]&amp;"",Tbl_Catalogue[],13,FALSE)),"-")</f>
        <v>-</v>
      </c>
      <c r="R24" s="5"/>
    </row>
    <row r="25" spans="1:18" x14ac:dyDescent="0.2">
      <c r="A25" s="2" t="s">
        <v>3</v>
      </c>
      <c r="B25" s="5" t="s">
        <v>41</v>
      </c>
      <c r="C25" s="5" t="s">
        <v>140</v>
      </c>
      <c r="D25" s="6" t="str">
        <f>IFERROR(IF(VLOOKUP(Tbl_Donnees[[#This Row],[Référence]]&amp;"",Tbl_Catalogue[],3,FALSE)=0,"-",VLOOKUP(Tbl_Donnees[[#This Row],[Référence]]&amp;"",Tbl_Catalogue[],3,FALSE)),"-")</f>
        <v>DISTRIB. HYD. D1VW</v>
      </c>
      <c r="E25" s="6">
        <v>1</v>
      </c>
      <c r="F25" s="6" t="str">
        <f>IFERROR(IF(VLOOKUP(Tbl_Donnees[[#This Row],[Référence]]&amp;"",Tbl_Catalogue[],2,FALSE)=0,"-",VLOOKUP(Tbl_Donnees[[#This Row],[Référence]]&amp;"",Tbl_Catalogue[],2,FALSE)),"-")</f>
        <v>PARKER</v>
      </c>
      <c r="G25" s="20" t="s">
        <v>178</v>
      </c>
      <c r="H25" s="6" t="str">
        <f>IFERROR(IF(VLOOKUP(Tbl_Donnees[[#This Row],[Référence]]&amp;"",Tbl_Catalogue[],4,FALSE)=0,"-",VLOOKUP(Tbl_Donnees[[#This Row],[Référence]]&amp;"",Tbl_Catalogue[],4,FALSE)),"-")</f>
        <v>Obsolète</v>
      </c>
      <c r="I25" s="2" t="str">
        <f>IFERROR(IF(VLOOKUP(Tbl_Donnees[[#This Row],[Référence]]&amp;"",Tbl_Catalogue[],5,FALSE)=0,"-",VLOOKUP(Tbl_Donnees[[#This Row],[Référence]]&amp;"",Tbl_Catalogue[],5,FALSE)),"INCONNU")</f>
        <v>INCONNU</v>
      </c>
      <c r="J25" s="3" t="str">
        <f>IFERROR(IF(VLOOKUP(Tbl_Donnees[[#This Row],[Référence]]&amp;"",Tbl_Catalogue[],6,FALSE)=0,"-",VLOOKUP(Tbl_Donnees[[#This Row],[Référence]]&amp;"",Tbl_Catalogue[],6,FALSE)),"-")</f>
        <v>-</v>
      </c>
      <c r="K25" s="2" t="str">
        <f>IFERROR(IF(VLOOKUP(Tbl_Donnees[[#This Row],[Référence]]&amp;"",Tbl_Catalogue[],7,FALSE)=0,"-",VLOOKUP(Tbl_Donnees[[#This Row],[Référence]]&amp;"",Tbl_Catalogue[],7,FALSE)),"-")</f>
        <v>INCONNU</v>
      </c>
      <c r="L25" s="5" t="str">
        <f>IFERROR(IF(VLOOKUP(Tbl_Donnees[[#This Row],[Référence]]&amp;"",Tbl_Catalogue[],10,FALSE)=0,"-",VLOOKUP(Tbl_Donnees[[#This Row],[Référence]]&amp;"",Tbl_Catalogue[],10,FALSE)),"-")</f>
        <v>-</v>
      </c>
      <c r="M25" s="2" t="str">
        <f>IFERROR(IF(VLOOKUP(Tbl_Donnees[[#This Row],[Référence]]&amp;"",Tbl_Catalogue[],8,FALSE)=0,"-",VLOOKUP(Tbl_Donnees[[#This Row],[Référence]]&amp;"",Tbl_Catalogue[],8,FALSE)),"-")</f>
        <v>-</v>
      </c>
      <c r="N25" s="5" t="str">
        <f>IFERROR(IF(VLOOKUP(Tbl_Donnees[[#This Row],[Référence]]&amp;"",Tbl_Catalogue[],9,FALSE)=0,"-",VLOOKUP(Tbl_Donnees[[#This Row],[Référence]]&amp;"",Tbl_Catalogue[],9,FALSE)),"-")</f>
        <v>-</v>
      </c>
      <c r="O25" s="5" t="str">
        <f>IFERROR(IF(VLOOKUP(Tbl_Donnees[[#This Row],[Référence]]&amp;"",Tbl_Catalogue[],11,FALSE)=0,"-",VLOOKUP(Tbl_Donnees[[#This Row],[Référence]]&amp;"",Tbl_Catalogue[],11,FALSE)),"-")</f>
        <v>-</v>
      </c>
      <c r="P25" s="2" t="str">
        <f>IFERROR(IF(VLOOKUP(Tbl_Donnees[[#This Row],[Référence]]&amp;"",Tbl_Catalogue[],12,FALSE)=0,"-",VLOOKUP(Tbl_Donnees[[#This Row],[Référence]]&amp;"",Tbl_Catalogue[],12,FALSE)),"-")</f>
        <v>-</v>
      </c>
      <c r="Q25" s="13" t="str">
        <f>IFERROR(IF(VLOOKUP(Tbl_Donnees[[#This Row],[Référence]]&amp;"",Tbl_Catalogue[],13,FALSE)=0,"-",VLOOKUP(Tbl_Donnees[[#This Row],[Référence]]&amp;"",Tbl_Catalogue[],13,FALSE)),"-")</f>
        <v>-</v>
      </c>
      <c r="R25" s="2"/>
    </row>
    <row r="26" spans="1:18" x14ac:dyDescent="0.2">
      <c r="A26" s="2" t="s">
        <v>3</v>
      </c>
      <c r="B26" s="5" t="s">
        <v>41</v>
      </c>
      <c r="C26" s="5" t="s">
        <v>140</v>
      </c>
      <c r="D26" s="6" t="str">
        <f>IFERROR(IF(VLOOKUP(Tbl_Donnees[[#This Row],[Référence]]&amp;"",Tbl_Catalogue[],3,FALSE)=0,"-",VLOOKUP(Tbl_Donnees[[#This Row],[Référence]]&amp;"",Tbl_Catalogue[],3,FALSE)),"-")</f>
        <v>FILTRE DE LIGNE LF60</v>
      </c>
      <c r="E26" s="6">
        <v>1</v>
      </c>
      <c r="F26" s="6" t="str">
        <f>IFERROR(IF(VLOOKUP(Tbl_Donnees[[#This Row],[Référence]]&amp;"",Tbl_Catalogue[],2,FALSE)=0,"-",VLOOKUP(Tbl_Donnees[[#This Row],[Référence]]&amp;"",Tbl_Catalogue[],2,FALSE)),"-")</f>
        <v>HYDAC</v>
      </c>
      <c r="G26" s="20" t="s">
        <v>181</v>
      </c>
      <c r="H26" s="6" t="str">
        <f>IFERROR(IF(VLOOKUP(Tbl_Donnees[[#This Row],[Référence]]&amp;"",Tbl_Catalogue[],4,FALSE)=0,"-",VLOOKUP(Tbl_Donnees[[#This Row],[Référence]]&amp;"",Tbl_Catalogue[],4,FALSE)),"-")</f>
        <v>Commercialisé</v>
      </c>
      <c r="I26" s="2" t="str">
        <f>IFERROR(IF(VLOOKUP(Tbl_Donnees[[#This Row],[Référence]]&amp;"",Tbl_Catalogue[],5,FALSE)=0,"-",VLOOKUP(Tbl_Donnees[[#This Row],[Référence]]&amp;"",Tbl_Catalogue[],5,FALSE)),"INCONNU")</f>
        <v>ACTIF</v>
      </c>
      <c r="J26" s="3" t="str">
        <f>IFERROR(IF(VLOOKUP(Tbl_Donnees[[#This Row],[Référence]]&amp;"",Tbl_Catalogue[],6,FALSE)=0,"-",VLOOKUP(Tbl_Donnees[[#This Row],[Référence]]&amp;"",Tbl_Catalogue[],6,FALSE)),"-")</f>
        <v>https://www.hydac.com/shop/fr-fr/310056</v>
      </c>
      <c r="K26" s="2" t="str">
        <f>IFERROR(IF(VLOOKUP(Tbl_Donnees[[#This Row],[Référence]]&amp;"",Tbl_Catalogue[],7,FALSE)=0,"-",VLOOKUP(Tbl_Donnees[[#This Row],[Référence]]&amp;"",Tbl_Catalogue[],7,FALSE)),"-")</f>
        <v>-</v>
      </c>
      <c r="L26" s="5" t="str">
        <f>IFERROR(IF(VLOOKUP(Tbl_Donnees[[#This Row],[Référence]]&amp;"",Tbl_Catalogue[],10,FALSE)=0,"-",VLOOKUP(Tbl_Donnees[[#This Row],[Référence]]&amp;"",Tbl_Catalogue[],10,FALSE)),"-")</f>
        <v>-</v>
      </c>
      <c r="M26" s="2" t="str">
        <f>IFERROR(IF(VLOOKUP(Tbl_Donnees[[#This Row],[Référence]]&amp;"",Tbl_Catalogue[],8,FALSE)=0,"-",VLOOKUP(Tbl_Donnees[[#This Row],[Référence]]&amp;"",Tbl_Catalogue[],8,FALSE)),"-")</f>
        <v>-</v>
      </c>
      <c r="N26" s="5" t="str">
        <f>IFERROR(IF(VLOOKUP(Tbl_Donnees[[#This Row],[Référence]]&amp;"",Tbl_Catalogue[],9,FALSE)=0,"-",VLOOKUP(Tbl_Donnees[[#This Row],[Référence]]&amp;"",Tbl_Catalogue[],9,FALSE)),"-")</f>
        <v>-</v>
      </c>
      <c r="O26" s="5" t="str">
        <f>IFERROR(IF(VLOOKUP(Tbl_Donnees[[#This Row],[Référence]]&amp;"",Tbl_Catalogue[],11,FALSE)=0,"-",VLOOKUP(Tbl_Donnees[[#This Row],[Référence]]&amp;"",Tbl_Catalogue[],11,FALSE)),"-")</f>
        <v>-</v>
      </c>
      <c r="P26" s="2" t="str">
        <f>IFERROR(IF(VLOOKUP(Tbl_Donnees[[#This Row],[Référence]]&amp;"",Tbl_Catalogue[],12,FALSE)=0,"-",VLOOKUP(Tbl_Donnees[[#This Row],[Référence]]&amp;"",Tbl_Catalogue[],12,FALSE)),"-")</f>
        <v>-</v>
      </c>
      <c r="Q26" s="13" t="str">
        <f>IFERROR(IF(VLOOKUP(Tbl_Donnees[[#This Row],[Référence]]&amp;"",Tbl_Catalogue[],13,FALSE)=0,"-",VLOOKUP(Tbl_Donnees[[#This Row],[Référence]]&amp;"",Tbl_Catalogue[],13,FALSE)),"-")</f>
        <v>-</v>
      </c>
      <c r="R26" s="5"/>
    </row>
    <row r="27" spans="1:18" x14ac:dyDescent="0.2">
      <c r="A27" s="2" t="s">
        <v>3</v>
      </c>
      <c r="B27" s="5" t="s">
        <v>41</v>
      </c>
      <c r="C27" s="5" t="s">
        <v>140</v>
      </c>
      <c r="D27" s="6" t="str">
        <f>IFERROR(IF(VLOOKUP(Tbl_Donnees[[#This Row],[Référence]]&amp;"",Tbl_Catalogue[],3,FALSE)=0,"-",VLOOKUP(Tbl_Donnees[[#This Row],[Référence]]&amp;"",Tbl_Catalogue[],3,FALSE)),"-")</f>
        <v>FILTRE DE LIGNE LF60</v>
      </c>
      <c r="E27" s="6">
        <v>1</v>
      </c>
      <c r="F27" s="6" t="str">
        <f>IFERROR(IF(VLOOKUP(Tbl_Donnees[[#This Row],[Référence]]&amp;"",Tbl_Catalogue[],2,FALSE)=0,"-",VLOOKUP(Tbl_Donnees[[#This Row],[Référence]]&amp;"",Tbl_Catalogue[],2,FALSE)),"-")</f>
        <v>HYDAC</v>
      </c>
      <c r="G27" s="20" t="s">
        <v>185</v>
      </c>
      <c r="H27" s="6" t="str">
        <f>IFERROR(IF(VLOOKUP(Tbl_Donnees[[#This Row],[Référence]]&amp;"",Tbl_Catalogue[],4,FALSE)=0,"-",VLOOKUP(Tbl_Donnees[[#This Row],[Référence]]&amp;"",Tbl_Catalogue[],4,FALSE)),"-")</f>
        <v>Commercialisé</v>
      </c>
      <c r="I27" s="2" t="str">
        <f>IFERROR(IF(VLOOKUP(Tbl_Donnees[[#This Row],[Référence]]&amp;"",Tbl_Catalogue[],5,FALSE)=0,"-",VLOOKUP(Tbl_Donnees[[#This Row],[Référence]]&amp;"",Tbl_Catalogue[],5,FALSE)),"INCONNU")</f>
        <v>ACTIF</v>
      </c>
      <c r="J27" s="3" t="str">
        <f>IFERROR(IF(VLOOKUP(Tbl_Donnees[[#This Row],[Référence]]&amp;"",Tbl_Catalogue[],6,FALSE)=0,"-",VLOOKUP(Tbl_Donnees[[#This Row],[Référence]]&amp;"",Tbl_Catalogue[],6,FALSE)),"-")</f>
        <v>https://www.hydac.com/shop/fr-fr/310056</v>
      </c>
      <c r="K27" s="2" t="str">
        <f>IFERROR(IF(VLOOKUP(Tbl_Donnees[[#This Row],[Référence]]&amp;"",Tbl_Catalogue[],7,FALSE)=0,"-",VLOOKUP(Tbl_Donnees[[#This Row],[Référence]]&amp;"",Tbl_Catalogue[],7,FALSE)),"-")</f>
        <v>-</v>
      </c>
      <c r="L27" s="5" t="str">
        <f>IFERROR(IF(VLOOKUP(Tbl_Donnees[[#This Row],[Référence]]&amp;"",Tbl_Catalogue[],10,FALSE)=0,"-",VLOOKUP(Tbl_Donnees[[#This Row],[Référence]]&amp;"",Tbl_Catalogue[],10,FALSE)),"-")</f>
        <v>-</v>
      </c>
      <c r="M27" s="2" t="str">
        <f>IFERROR(IF(VLOOKUP(Tbl_Donnees[[#This Row],[Référence]]&amp;"",Tbl_Catalogue[],8,FALSE)=0,"-",VLOOKUP(Tbl_Donnees[[#This Row],[Référence]]&amp;"",Tbl_Catalogue[],8,FALSE)),"-")</f>
        <v>-</v>
      </c>
      <c r="N27" s="5" t="str">
        <f>IFERROR(IF(VLOOKUP(Tbl_Donnees[[#This Row],[Référence]]&amp;"",Tbl_Catalogue[],9,FALSE)=0,"-",VLOOKUP(Tbl_Donnees[[#This Row],[Référence]]&amp;"",Tbl_Catalogue[],9,FALSE)),"-")</f>
        <v>-</v>
      </c>
      <c r="O27" s="5" t="str">
        <f>IFERROR(IF(VLOOKUP(Tbl_Donnees[[#This Row],[Référence]]&amp;"",Tbl_Catalogue[],11,FALSE)=0,"-",VLOOKUP(Tbl_Donnees[[#This Row],[Référence]]&amp;"",Tbl_Catalogue[],11,FALSE)),"-")</f>
        <v>-</v>
      </c>
      <c r="P27" s="2" t="str">
        <f>IFERROR(IF(VLOOKUP(Tbl_Donnees[[#This Row],[Référence]]&amp;"",Tbl_Catalogue[],12,FALSE)=0,"-",VLOOKUP(Tbl_Donnees[[#This Row],[Référence]]&amp;"",Tbl_Catalogue[],12,FALSE)),"-")</f>
        <v>-</v>
      </c>
      <c r="Q27" s="13" t="str">
        <f>IFERROR(IF(VLOOKUP(Tbl_Donnees[[#This Row],[Référence]]&amp;"",Tbl_Catalogue[],13,FALSE)=0,"-",VLOOKUP(Tbl_Donnees[[#This Row],[Référence]]&amp;"",Tbl_Catalogue[],13,FALSE)),"-")</f>
        <v>-</v>
      </c>
      <c r="R27" s="2"/>
    </row>
    <row r="28" spans="1:18" x14ac:dyDescent="0.2">
      <c r="A28" s="2" t="s">
        <v>3</v>
      </c>
      <c r="B28" s="5" t="s">
        <v>41</v>
      </c>
      <c r="C28" s="5" t="s">
        <v>140</v>
      </c>
      <c r="D28" s="6" t="str">
        <f>IFERROR(IF(VLOOKUP(Tbl_Donnees[[#This Row],[Référence]]&amp;"",Tbl_Catalogue[],3,FALSE)=0,"-",VLOOKUP(Tbl_Donnees[[#This Row],[Référence]]&amp;"",Tbl_Catalogue[],3,FALSE)),"-")</f>
        <v>DISTRIB. 4WE6H62/EG24</v>
      </c>
      <c r="E28" s="6">
        <v>1</v>
      </c>
      <c r="F28" s="6" t="str">
        <f>IFERROR(IF(VLOOKUP(Tbl_Donnees[[#This Row],[Référence]]&amp;"",Tbl_Catalogue[],2,FALSE)=0,"-",VLOOKUP(Tbl_Donnees[[#This Row],[Référence]]&amp;"",Tbl_Catalogue[],2,FALSE)),"-")</f>
        <v>BOSCH REXROTH</v>
      </c>
      <c r="G28" s="20" t="s">
        <v>55</v>
      </c>
      <c r="H28" s="6" t="str">
        <f>IFERROR(IF(VLOOKUP(Tbl_Donnees[[#This Row],[Référence]]&amp;"",Tbl_Catalogue[],4,FALSE)=0,"-",VLOOKUP(Tbl_Donnees[[#This Row],[Référence]]&amp;"",Tbl_Catalogue[],4,FALSE)),"-")</f>
        <v>Produit actif</v>
      </c>
      <c r="I28" s="2" t="str">
        <f>IFERROR(IF(VLOOKUP(Tbl_Donnees[[#This Row],[Référence]]&amp;"",Tbl_Catalogue[],5,FALSE)=0,"-",VLOOKUP(Tbl_Donnees[[#This Row],[Référence]]&amp;"",Tbl_Catalogue[],5,FALSE)),"INCONNU")</f>
        <v>ACTIF</v>
      </c>
      <c r="J28" s="3" t="str">
        <f>IFERROR(IF(VLOOKUP(Tbl_Donnees[[#This Row],[Référence]]&amp;"",Tbl_Catalogue[],6,FALSE)=0,"-",VLOOKUP(Tbl_Donnees[[#This Row],[Référence]]&amp;"",Tbl_Catalogue[],6,FALSE)),"-")</f>
        <v>https://store.boschrexroth.com/fr/fr/p/distributeur-r900561286</v>
      </c>
      <c r="K28" s="2" t="str">
        <f>IFERROR(IF(VLOOKUP(Tbl_Donnees[[#This Row],[Référence]]&amp;"",Tbl_Catalogue[],7,FALSE)=0,"-",VLOOKUP(Tbl_Donnees[[#This Row],[Référence]]&amp;"",Tbl_Catalogue[],7,FALSE)),"-")</f>
        <v>INCONNU</v>
      </c>
      <c r="L28" s="5" t="str">
        <f>IFERROR(IF(VLOOKUP(Tbl_Donnees[[#This Row],[Référence]]&amp;"",Tbl_Catalogue[],10,FALSE)=0,"-",VLOOKUP(Tbl_Donnees[[#This Row],[Référence]]&amp;"",Tbl_Catalogue[],10,FALSE)),"-")</f>
        <v>-</v>
      </c>
      <c r="M28" s="2" t="str">
        <f>IFERROR(IF(VLOOKUP(Tbl_Donnees[[#This Row],[Référence]]&amp;"",Tbl_Catalogue[],8,FALSE)=0,"-",VLOOKUP(Tbl_Donnees[[#This Row],[Référence]]&amp;"",Tbl_Catalogue[],8,FALSE)),"-")</f>
        <v>-</v>
      </c>
      <c r="N28" s="5" t="str">
        <f>IFERROR(IF(VLOOKUP(Tbl_Donnees[[#This Row],[Référence]]&amp;"",Tbl_Catalogue[],9,FALSE)=0,"-",VLOOKUP(Tbl_Donnees[[#This Row],[Référence]]&amp;"",Tbl_Catalogue[],9,FALSE)),"-")</f>
        <v>-</v>
      </c>
      <c r="O28" s="5" t="str">
        <f>IFERROR(IF(VLOOKUP(Tbl_Donnees[[#This Row],[Référence]]&amp;"",Tbl_Catalogue[],11,FALSE)=0,"-",VLOOKUP(Tbl_Donnees[[#This Row],[Référence]]&amp;"",Tbl_Catalogue[],11,FALSE)),"-")</f>
        <v>-</v>
      </c>
      <c r="P28" s="2" t="str">
        <f>IFERROR(IF(VLOOKUP(Tbl_Donnees[[#This Row],[Référence]]&amp;"",Tbl_Catalogue[],12,FALSE)=0,"-",VLOOKUP(Tbl_Donnees[[#This Row],[Référence]]&amp;"",Tbl_Catalogue[],12,FALSE)),"-")</f>
        <v>-</v>
      </c>
      <c r="Q28" s="13" t="str">
        <f>IFERROR(IF(VLOOKUP(Tbl_Donnees[[#This Row],[Référence]]&amp;"",Tbl_Catalogue[],13,FALSE)=0,"-",VLOOKUP(Tbl_Donnees[[#This Row],[Référence]]&amp;"",Tbl_Catalogue[],13,FALSE)),"-")</f>
        <v>-</v>
      </c>
      <c r="R28" s="5"/>
    </row>
    <row r="29" spans="1:18" x14ac:dyDescent="0.2">
      <c r="A29" s="2" t="s">
        <v>3</v>
      </c>
      <c r="B29" s="5" t="s">
        <v>41</v>
      </c>
      <c r="C29" s="5" t="s">
        <v>140</v>
      </c>
      <c r="D29" s="6" t="str">
        <f>IFERROR(IF(VLOOKUP(Tbl_Donnees[[#This Row],[Référence]]&amp;"",Tbl_Catalogue[],3,FALSE)=0,"-",VLOOKUP(Tbl_Donnees[[#This Row],[Référence]]&amp;"",Tbl_Catalogue[],3,FALSE)),"-")</f>
        <v>DISTRIB. 4WE6E62/EG24</v>
      </c>
      <c r="E29" s="6">
        <v>1</v>
      </c>
      <c r="F29" s="6" t="str">
        <f>IFERROR(IF(VLOOKUP(Tbl_Donnees[[#This Row],[Référence]]&amp;"",Tbl_Catalogue[],2,FALSE)=0,"-",VLOOKUP(Tbl_Donnees[[#This Row],[Référence]]&amp;"",Tbl_Catalogue[],2,FALSE)),"-")</f>
        <v>BOSCH REXROTH</v>
      </c>
      <c r="G29" s="20" t="s">
        <v>176</v>
      </c>
      <c r="H29" s="6" t="str">
        <f>IFERROR(IF(VLOOKUP(Tbl_Donnees[[#This Row],[Référence]]&amp;"",Tbl_Catalogue[],4,FALSE)=0,"-",VLOOKUP(Tbl_Donnees[[#This Row],[Référence]]&amp;"",Tbl_Catalogue[],4,FALSE)),"-")</f>
        <v>Produit actif</v>
      </c>
      <c r="I29" s="2" t="str">
        <f>IFERROR(IF(VLOOKUP(Tbl_Donnees[[#This Row],[Référence]]&amp;"",Tbl_Catalogue[],5,FALSE)=0,"-",VLOOKUP(Tbl_Donnees[[#This Row],[Référence]]&amp;"",Tbl_Catalogue[],5,FALSE)),"INCONNU")</f>
        <v>ACTIF</v>
      </c>
      <c r="J29" s="3" t="str">
        <f>IFERROR(IF(VLOOKUP(Tbl_Donnees[[#This Row],[Référence]]&amp;"",Tbl_Catalogue[],6,FALSE)=0,"-",VLOOKUP(Tbl_Donnees[[#This Row],[Référence]]&amp;"",Tbl_Catalogue[],6,FALSE)),"-")</f>
        <v>https://store.boschrexroth.com/fr/fr/p/distributeur-r900561278</v>
      </c>
      <c r="K29" s="2" t="str">
        <f>IFERROR(IF(VLOOKUP(Tbl_Donnees[[#This Row],[Référence]]&amp;"",Tbl_Catalogue[],7,FALSE)=0,"-",VLOOKUP(Tbl_Donnees[[#This Row],[Référence]]&amp;"",Tbl_Catalogue[],7,FALSE)),"-")</f>
        <v>INCONNU</v>
      </c>
      <c r="L29" s="5" t="str">
        <f>IFERROR(IF(VLOOKUP(Tbl_Donnees[[#This Row],[Référence]]&amp;"",Tbl_Catalogue[],10,FALSE)=0,"-",VLOOKUP(Tbl_Donnees[[#This Row],[Référence]]&amp;"",Tbl_Catalogue[],10,FALSE)),"-")</f>
        <v>-</v>
      </c>
      <c r="M29" s="2" t="str">
        <f>IFERROR(IF(VLOOKUP(Tbl_Donnees[[#This Row],[Référence]]&amp;"",Tbl_Catalogue[],8,FALSE)=0,"-",VLOOKUP(Tbl_Donnees[[#This Row],[Référence]]&amp;"",Tbl_Catalogue[],8,FALSE)),"-")</f>
        <v>-</v>
      </c>
      <c r="N29" s="5" t="str">
        <f>IFERROR(IF(VLOOKUP(Tbl_Donnees[[#This Row],[Référence]]&amp;"",Tbl_Catalogue[],9,FALSE)=0,"-",VLOOKUP(Tbl_Donnees[[#This Row],[Référence]]&amp;"",Tbl_Catalogue[],9,FALSE)),"-")</f>
        <v>-</v>
      </c>
      <c r="O29" s="5" t="str">
        <f>IFERROR(IF(VLOOKUP(Tbl_Donnees[[#This Row],[Référence]]&amp;"",Tbl_Catalogue[],11,FALSE)=0,"-",VLOOKUP(Tbl_Donnees[[#This Row],[Référence]]&amp;"",Tbl_Catalogue[],11,FALSE)),"-")</f>
        <v>-</v>
      </c>
      <c r="P29" s="2" t="str">
        <f>IFERROR(IF(VLOOKUP(Tbl_Donnees[[#This Row],[Référence]]&amp;"",Tbl_Catalogue[],12,FALSE)=0,"-",VLOOKUP(Tbl_Donnees[[#This Row],[Référence]]&amp;"",Tbl_Catalogue[],12,FALSE)),"-")</f>
        <v>-</v>
      </c>
      <c r="Q29" s="13" t="str">
        <f>IFERROR(IF(VLOOKUP(Tbl_Donnees[[#This Row],[Référence]]&amp;"",Tbl_Catalogue[],13,FALSE)=0,"-",VLOOKUP(Tbl_Donnees[[#This Row],[Référence]]&amp;"",Tbl_Catalogue[],13,FALSE)),"-")</f>
        <v>-</v>
      </c>
      <c r="R29" s="2"/>
    </row>
    <row r="30" spans="1:18" ht="20.399999999999999" x14ac:dyDescent="0.2">
      <c r="A30" s="2" t="s">
        <v>3</v>
      </c>
      <c r="B30" s="5" t="s">
        <v>620</v>
      </c>
      <c r="C30" s="5" t="s">
        <v>60</v>
      </c>
      <c r="D30" s="6" t="str">
        <f>IFERROR(IF(VLOOKUP(Tbl_Donnees[[#This Row],[Référence]]&amp;"",Tbl_Catalogue[],3,FALSE)=0,"-",VLOOKUP(Tbl_Donnees[[#This Row],[Référence]]&amp;"",Tbl_Catalogue[],3,FALSE)),"-")</f>
        <v>RELAIS SECURITE XPSAT</v>
      </c>
      <c r="E30" s="6">
        <v>1</v>
      </c>
      <c r="F30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30" s="20" t="s">
        <v>30</v>
      </c>
      <c r="H30" s="6" t="str">
        <f>IFERROR(IF(VLOOKUP(Tbl_Donnees[[#This Row],[Référence]]&amp;"",Tbl_Catalogue[],4,FALSE)=0,"-",VLOOKUP(Tbl_Donnees[[#This Row],[Référence]]&amp;"",Tbl_Catalogue[],4,FALSE)),"-")</f>
        <v>Obsolète</v>
      </c>
      <c r="I30" s="2" t="str">
        <f>IFERROR(IF(VLOOKUP(Tbl_Donnees[[#This Row],[Référence]]&amp;"",Tbl_Catalogue[],5,FALSE)=0,"-",VLOOKUP(Tbl_Donnees[[#This Row],[Référence]]&amp;"",Tbl_Catalogue[],5,FALSE)),"INCONNU")</f>
        <v>OBSOLETE</v>
      </c>
      <c r="J30" s="3" t="str">
        <f>IFERROR(IF(VLOOKUP(Tbl_Donnees[[#This Row],[Référence]]&amp;"",Tbl_Catalogue[],6,FALSE)=0,"-",VLOOKUP(Tbl_Donnees[[#This Row],[Référence]]&amp;"",Tbl_Catalogue[],6,FALSE)),"-")</f>
        <v>-</v>
      </c>
      <c r="K30" s="2" t="str">
        <f>IFERROR(IF(VLOOKUP(Tbl_Donnees[[#This Row],[Référence]]&amp;"",Tbl_Catalogue[],7,FALSE)=0,"-",VLOOKUP(Tbl_Donnees[[#This Row],[Référence]]&amp;"",Tbl_Catalogue[],7,FALSE)),"-")</f>
        <v>OUI</v>
      </c>
      <c r="L30" s="5" t="str">
        <f>IFERROR(IF(VLOOKUP(Tbl_Donnees[[#This Row],[Référence]]&amp;"",Tbl_Catalogue[],10,FALSE)=0,"-",VLOOKUP(Tbl_Donnees[[#This Row],[Référence]]&amp;"",Tbl_Catalogue[],10,FALSE)),"-")</f>
        <v>-</v>
      </c>
      <c r="M30" s="2" t="str">
        <f>IFERROR(IF(VLOOKUP(Tbl_Donnees[[#This Row],[Référence]]&amp;"",Tbl_Catalogue[],8,FALSE)=0,"-",VLOOKUP(Tbl_Donnees[[#This Row],[Référence]]&amp;"",Tbl_Catalogue[],8,FALSE)),"-")</f>
        <v>XPSATE</v>
      </c>
      <c r="N30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30" s="5" t="str">
        <f>IFERROR(IF(VLOOKUP(Tbl_Donnees[[#This Row],[Référence]]&amp;"",Tbl_Catalogue[],11,FALSE)=0,"-",VLOOKUP(Tbl_Donnees[[#This Row],[Référence]]&amp;"",Tbl_Catalogue[],11,FALSE)),"-")</f>
        <v>XPSATE est remplacé par XPSUAT</v>
      </c>
      <c r="P30" s="2" t="str">
        <f>IFERROR(IF(VLOOKUP(Tbl_Donnees[[#This Row],[Référence]]&amp;"",Tbl_Catalogue[],12,FALSE)=0,"-",VLOOKUP(Tbl_Donnees[[#This Row],[Référence]]&amp;"",Tbl_Catalogue[],12,FALSE)),"-")</f>
        <v>ACTIF</v>
      </c>
      <c r="Q30" s="13" t="str">
        <f>IFERROR(IF(VLOOKUP(Tbl_Donnees[[#This Row],[Référence]]&amp;"",Tbl_Catalogue[],13,FALSE)=0,"-",VLOOKUP(Tbl_Donnees[[#This Row],[Référence]]&amp;"",Tbl_Catalogue[],13,FALSE)),"-")</f>
        <v>https://www.se.com/fr/fr/product/XPSATE3710/preventa-xpsat-module-arr%C3%AAt-durgence-230vca/</v>
      </c>
      <c r="R30" s="5"/>
    </row>
    <row r="31" spans="1:18" ht="20.399999999999999" x14ac:dyDescent="0.2">
      <c r="A31" s="2" t="s">
        <v>3</v>
      </c>
      <c r="B31" s="5" t="s">
        <v>620</v>
      </c>
      <c r="C31" s="5" t="s">
        <v>60</v>
      </c>
      <c r="D31" s="6" t="str">
        <f>IFERROR(IF(VLOOKUP(Tbl_Donnees[[#This Row],[Référence]]&amp;"",Tbl_Catalogue[],3,FALSE)=0,"-",VLOOKUP(Tbl_Donnees[[#This Row],[Référence]]&amp;"",Tbl_Catalogue[],3,FALSE)),"-")</f>
        <v>RELAIS SECURITE XPSAX</v>
      </c>
      <c r="E31" s="6">
        <v>1</v>
      </c>
      <c r="F31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31" s="20" t="s">
        <v>95</v>
      </c>
      <c r="H31" s="6" t="str">
        <f>IFERROR(IF(VLOOKUP(Tbl_Donnees[[#This Row],[Référence]]&amp;"",Tbl_Catalogue[],4,FALSE)=0,"-",VLOOKUP(Tbl_Donnees[[#This Row],[Référence]]&amp;"",Tbl_Catalogue[],4,FALSE)),"-")</f>
        <v>Fin de production : 31 déc. 2010</v>
      </c>
      <c r="I31" s="2" t="str">
        <f>IFERROR(IF(VLOOKUP(Tbl_Donnees[[#This Row],[Référence]]&amp;"",Tbl_Catalogue[],5,FALSE)=0,"-",VLOOKUP(Tbl_Donnees[[#This Row],[Référence]]&amp;"",Tbl_Catalogue[],5,FALSE)),"INCONNU")</f>
        <v>OBSOLETE</v>
      </c>
      <c r="J31" s="3" t="str">
        <f>IFERROR(IF(VLOOKUP(Tbl_Donnees[[#This Row],[Référence]]&amp;"",Tbl_Catalogue[],6,FALSE)=0,"-",VLOOKUP(Tbl_Donnees[[#This Row],[Référence]]&amp;"",Tbl_Catalogue[],6,FALSE)),"-")</f>
        <v>https://www.se.com/fr/fr/product/XPSAX5120/contr%C3%B4leur-xpsax-arr%C3%AAt-d-urgence-24-v-ca-cc/</v>
      </c>
      <c r="K31" s="2" t="str">
        <f>IFERROR(IF(VLOOKUP(Tbl_Donnees[[#This Row],[Référence]]&amp;"",Tbl_Catalogue[],7,FALSE)=0,"-",VLOOKUP(Tbl_Donnees[[#This Row],[Référence]]&amp;"",Tbl_Catalogue[],7,FALSE)),"-")</f>
        <v>OUI</v>
      </c>
      <c r="L31" s="5" t="str">
        <f>IFERROR(IF(VLOOKUP(Tbl_Donnees[[#This Row],[Référence]]&amp;"",Tbl_Catalogue[],10,FALSE)=0,"-",VLOOKUP(Tbl_Donnees[[#This Row],[Référence]]&amp;"",Tbl_Catalogue[],10,FALSE)),"-")</f>
        <v>-</v>
      </c>
      <c r="M31" s="2" t="str">
        <f>IFERROR(IF(VLOOKUP(Tbl_Donnees[[#This Row],[Référence]]&amp;"",Tbl_Catalogue[],8,FALSE)=0,"-",VLOOKUP(Tbl_Donnees[[#This Row],[Référence]]&amp;"",Tbl_Catalogue[],8,FALSE)),"-")</f>
        <v>XPSBAC14AC</v>
      </c>
      <c r="N31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31" s="5" t="str">
        <f>IFERROR(IF(VLOOKUP(Tbl_Donnees[[#This Row],[Référence]]&amp;"",Tbl_Catalogue[],11,FALSE)=0,"-",VLOOKUP(Tbl_Donnees[[#This Row],[Référence]]&amp;"",Tbl_Catalogue[],11,FALSE)),"-")</f>
        <v>-</v>
      </c>
      <c r="P31" s="2" t="str">
        <f>IFERROR(IF(VLOOKUP(Tbl_Donnees[[#This Row],[Référence]]&amp;"",Tbl_Catalogue[],12,FALSE)=0,"-",VLOOKUP(Tbl_Donnees[[#This Row],[Référence]]&amp;"",Tbl_Catalogue[],12,FALSE)),"-")</f>
        <v>ACTIF</v>
      </c>
      <c r="Q31" s="13" t="str">
        <f>IFERROR(IF(VLOOKUP(Tbl_Donnees[[#This Row],[Référence]]&amp;"",Tbl_Catalogue[],13,FALSE)=0,"-",VLOOKUP(Tbl_Donnees[[#This Row],[Référence]]&amp;"",Tbl_Catalogue[],13,FALSE)),"-")</f>
        <v>-</v>
      </c>
      <c r="R31" s="2"/>
    </row>
    <row r="32" spans="1:18" ht="20.399999999999999" x14ac:dyDescent="0.2">
      <c r="A32" s="2" t="s">
        <v>3</v>
      </c>
      <c r="B32" s="5" t="s">
        <v>620</v>
      </c>
      <c r="C32" s="5" t="s">
        <v>60</v>
      </c>
      <c r="D32" s="6" t="str">
        <f>IFERROR(IF(VLOOKUP(Tbl_Donnees[[#This Row],[Référence]]&amp;"",Tbl_Catalogue[],3,FALSE)=0,"-",VLOOKUP(Tbl_Donnees[[#This Row],[Référence]]&amp;"",Tbl_Catalogue[],3,FALSE)),"-")</f>
        <v>CONTACTEUR TRIPOLAIRE LC1</v>
      </c>
      <c r="E32" s="6">
        <v>1</v>
      </c>
      <c r="F32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32" s="20" t="s">
        <v>100</v>
      </c>
      <c r="H32" s="6" t="str">
        <f>IFERROR(IF(VLOOKUP(Tbl_Donnees[[#This Row],[Référence]]&amp;"",Tbl_Catalogue[],4,FALSE)=0,"-",VLOOKUP(Tbl_Donnees[[#This Row],[Référence]]&amp;"",Tbl_Catalogue[],4,FALSE)),"-")</f>
        <v>-</v>
      </c>
      <c r="I32" s="2" t="str">
        <f>IFERROR(IF(VLOOKUP(Tbl_Donnees[[#This Row],[Référence]]&amp;"",Tbl_Catalogue[],5,FALSE)=0,"-",VLOOKUP(Tbl_Donnees[[#This Row],[Référence]]&amp;"",Tbl_Catalogue[],5,FALSE)),"INCONNU")</f>
        <v>INCONNU</v>
      </c>
      <c r="J32" s="3" t="str">
        <f>IFERROR(IF(VLOOKUP(Tbl_Donnees[[#This Row],[Référence]]&amp;"",Tbl_Catalogue[],6,FALSE)=0,"-",VLOOKUP(Tbl_Donnees[[#This Row],[Référence]]&amp;"",Tbl_Catalogue[],6,FALSE)),"-")</f>
        <v>-</v>
      </c>
      <c r="K32" s="2" t="str">
        <f>IFERROR(IF(VLOOKUP(Tbl_Donnees[[#This Row],[Référence]]&amp;"",Tbl_Catalogue[],7,FALSE)=0,"-",VLOOKUP(Tbl_Donnees[[#This Row],[Référence]]&amp;"",Tbl_Catalogue[],7,FALSE)),"-")</f>
        <v>-</v>
      </c>
      <c r="L32" s="5" t="str">
        <f>IFERROR(IF(VLOOKUP(Tbl_Donnees[[#This Row],[Référence]]&amp;"",Tbl_Catalogue[],10,FALSE)=0,"-",VLOOKUP(Tbl_Donnees[[#This Row],[Référence]]&amp;"",Tbl_Catalogue[],10,FALSE)),"-")</f>
        <v>-</v>
      </c>
      <c r="M32" s="2" t="str">
        <f>IFERROR(IF(VLOOKUP(Tbl_Donnees[[#This Row],[Référence]]&amp;"",Tbl_Catalogue[],8,FALSE)=0,"-",VLOOKUP(Tbl_Donnees[[#This Row],[Référence]]&amp;"",Tbl_Catalogue[],8,FALSE)),"-")</f>
        <v>-</v>
      </c>
      <c r="N32" s="5" t="str">
        <f>IFERROR(IF(VLOOKUP(Tbl_Donnees[[#This Row],[Référence]]&amp;"",Tbl_Catalogue[],9,FALSE)=0,"-",VLOOKUP(Tbl_Donnees[[#This Row],[Référence]]&amp;"",Tbl_Catalogue[],9,FALSE)),"-")</f>
        <v>-</v>
      </c>
      <c r="O32" s="5" t="str">
        <f>IFERROR(IF(VLOOKUP(Tbl_Donnees[[#This Row],[Référence]]&amp;"",Tbl_Catalogue[],11,FALSE)=0,"-",VLOOKUP(Tbl_Donnees[[#This Row],[Référence]]&amp;"",Tbl_Catalogue[],11,FALSE)),"-")</f>
        <v>-</v>
      </c>
      <c r="P32" s="2" t="str">
        <f>IFERROR(IF(VLOOKUP(Tbl_Donnees[[#This Row],[Référence]]&amp;"",Tbl_Catalogue[],12,FALSE)=0,"-",VLOOKUP(Tbl_Donnees[[#This Row],[Référence]]&amp;"",Tbl_Catalogue[],12,FALSE)),"-")</f>
        <v>-</v>
      </c>
      <c r="Q32" s="13" t="str">
        <f>IFERROR(IF(VLOOKUP(Tbl_Donnees[[#This Row],[Référence]]&amp;"",Tbl_Catalogue[],13,FALSE)=0,"-",VLOOKUP(Tbl_Donnees[[#This Row],[Référence]]&amp;"",Tbl_Catalogue[],13,FALSE)),"-")</f>
        <v>-</v>
      </c>
      <c r="R32" s="5"/>
    </row>
    <row r="33" spans="1:18" ht="20.399999999999999" x14ac:dyDescent="0.2">
      <c r="A33" s="2" t="s">
        <v>3</v>
      </c>
      <c r="B33" s="5" t="s">
        <v>620</v>
      </c>
      <c r="C33" s="5" t="s">
        <v>60</v>
      </c>
      <c r="D33" s="6" t="str">
        <f>IFERROR(IF(VLOOKUP(Tbl_Donnees[[#This Row],[Référence]]&amp;"",Tbl_Catalogue[],3,FALSE)=0,"-",VLOOKUP(Tbl_Donnees[[#This Row],[Référence]]&amp;"",Tbl_Catalogue[],3,FALSE)),"-")</f>
        <v>INTER. SECURITE XCSA701</v>
      </c>
      <c r="E33" s="6">
        <v>1</v>
      </c>
      <c r="F33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33" s="20" t="s">
        <v>31</v>
      </c>
      <c r="H33" s="6" t="str">
        <f>IFERROR(IF(VLOOKUP(Tbl_Donnees[[#This Row],[Référence]]&amp;"",Tbl_Catalogue[],4,FALSE)=0,"-",VLOOKUP(Tbl_Donnees[[#This Row],[Référence]]&amp;"",Tbl_Catalogue[],4,FALSE)),"-")</f>
        <v>Commercialisé</v>
      </c>
      <c r="I33" s="2" t="str">
        <f>IFERROR(IF(VLOOKUP(Tbl_Donnees[[#This Row],[Référence]]&amp;"",Tbl_Catalogue[],5,FALSE)=0,"-",VLOOKUP(Tbl_Donnees[[#This Row],[Référence]]&amp;"",Tbl_Catalogue[],5,FALSE)),"INCONNU")</f>
        <v>ACTIF</v>
      </c>
      <c r="J33" s="3" t="str">
        <f>IFERROR(IF(VLOOKUP(Tbl_Donnees[[#This Row],[Référence]]&amp;"",Tbl_Catalogue[],6,FALSE)=0,"-",VLOOKUP(Tbl_Donnees[[#This Row],[Référence]]&amp;"",Tbl_Catalogue[],6,FALSE)),"-")</f>
        <v>https://telemecaniquesensors.com/global/en/product/reference/XCSA701</v>
      </c>
      <c r="K33" s="2" t="str">
        <f>IFERROR(IF(VLOOKUP(Tbl_Donnees[[#This Row],[Référence]]&amp;"",Tbl_Catalogue[],7,FALSE)=0,"-",VLOOKUP(Tbl_Donnees[[#This Row],[Référence]]&amp;"",Tbl_Catalogue[],7,FALSE)),"-")</f>
        <v>-</v>
      </c>
      <c r="L33" s="5" t="str">
        <f>IFERROR(IF(VLOOKUP(Tbl_Donnees[[#This Row],[Référence]]&amp;"",Tbl_Catalogue[],10,FALSE)=0,"-",VLOOKUP(Tbl_Donnees[[#This Row],[Référence]]&amp;"",Tbl_Catalogue[],10,FALSE)),"-")</f>
        <v>-</v>
      </c>
      <c r="M33" s="2" t="str">
        <f>IFERROR(IF(VLOOKUP(Tbl_Donnees[[#This Row],[Référence]]&amp;"",Tbl_Catalogue[],8,FALSE)=0,"-",VLOOKUP(Tbl_Donnees[[#This Row],[Référence]]&amp;"",Tbl_Catalogue[],8,FALSE)),"-")</f>
        <v>-</v>
      </c>
      <c r="N33" s="5" t="str">
        <f>IFERROR(IF(VLOOKUP(Tbl_Donnees[[#This Row],[Référence]]&amp;"",Tbl_Catalogue[],9,FALSE)=0,"-",VLOOKUP(Tbl_Donnees[[#This Row],[Référence]]&amp;"",Tbl_Catalogue[],9,FALSE)),"-")</f>
        <v>-</v>
      </c>
      <c r="O33" s="5" t="str">
        <f>IFERROR(IF(VLOOKUP(Tbl_Donnees[[#This Row],[Référence]]&amp;"",Tbl_Catalogue[],11,FALSE)=0,"-",VLOOKUP(Tbl_Donnees[[#This Row],[Référence]]&amp;"",Tbl_Catalogue[],11,FALSE)),"-")</f>
        <v>-</v>
      </c>
      <c r="P33" s="2" t="str">
        <f>IFERROR(IF(VLOOKUP(Tbl_Donnees[[#This Row],[Référence]]&amp;"",Tbl_Catalogue[],12,FALSE)=0,"-",VLOOKUP(Tbl_Donnees[[#This Row],[Référence]]&amp;"",Tbl_Catalogue[],12,FALSE)),"-")</f>
        <v>-</v>
      </c>
      <c r="Q33" s="13" t="str">
        <f>IFERROR(IF(VLOOKUP(Tbl_Donnees[[#This Row],[Référence]]&amp;"",Tbl_Catalogue[],13,FALSE)=0,"-",VLOOKUP(Tbl_Donnees[[#This Row],[Référence]]&amp;"",Tbl_Catalogue[],13,FALSE)),"-")</f>
        <v>-</v>
      </c>
      <c r="R33" s="2"/>
    </row>
    <row r="34" spans="1:18" x14ac:dyDescent="0.2">
      <c r="A34" s="2" t="s">
        <v>3</v>
      </c>
      <c r="B34" s="5" t="s">
        <v>620</v>
      </c>
      <c r="C34" s="5" t="s">
        <v>60</v>
      </c>
      <c r="D34" s="6" t="str">
        <f>IFERROR(IF(VLOOKUP(Tbl_Donnees[[#This Row],[Référence]]&amp;"",Tbl_Catalogue[],3,FALSE)=0,"-",VLOOKUP(Tbl_Donnees[[#This Row],[Référence]]&amp;"",Tbl_Catalogue[],3,FALSE)),"-")</f>
        <v>MOD. ENTREE SSI SM338</v>
      </c>
      <c r="E34" s="6">
        <v>1</v>
      </c>
      <c r="F34" s="6" t="str">
        <f>IFERROR(IF(VLOOKUP(Tbl_Donnees[[#This Row],[Référence]]&amp;"",Tbl_Catalogue[],2,FALSE)=0,"-",VLOOKUP(Tbl_Donnees[[#This Row],[Référence]]&amp;"",Tbl_Catalogue[],2,FALSE)),"-")</f>
        <v>SIEMENS</v>
      </c>
      <c r="G34" s="20" t="s">
        <v>6</v>
      </c>
      <c r="H34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34" s="2" t="str">
        <f>IFERROR(IF(VLOOKUP(Tbl_Donnees[[#This Row],[Référence]]&amp;"",Tbl_Catalogue[],5,FALSE)=0,"-",VLOOKUP(Tbl_Donnees[[#This Row],[Référence]]&amp;"",Tbl_Catalogue[],5,FALSE)),"INCONNU")</f>
        <v>RECHANGE</v>
      </c>
      <c r="J3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https://sieportal.siemens.com/fr-fr/products-services/detail/6ES7338-4BC01-0AB0?tree=CatalogTree</v>
      </c>
      <c r="K34" s="2" t="str">
        <f>IFERROR(IF(VLOOKUP(Tbl_Donnees[[#This Row],[Référence]]&amp;"",Tbl_Catalogue[],7,FALSE)=0,"-",VLOOKUP(Tbl_Donnees[[#This Row],[Référence]]&amp;"",Tbl_Catalogue[],7,FALSE)),"-")</f>
        <v>INCONNU</v>
      </c>
      <c r="L34" s="5" t="str">
        <f>IFERROR(IF(VLOOKUP(Tbl_Donnees[[#This Row],[Référence]]&amp;"",Tbl_Catalogue[],10,FALSE)=0,"-",VLOOKUP(Tbl_Donnees[[#This Row],[Référence]]&amp;"",Tbl_Catalogue[],10,FALSE)),"-")</f>
        <v>-</v>
      </c>
      <c r="M34" s="2" t="str">
        <f>IFERROR(IF(VLOOKUP(Tbl_Donnees[[#This Row],[Référence]]&amp;"",Tbl_Catalogue[],8,FALSE)=0,"-",VLOOKUP(Tbl_Donnees[[#This Row],[Référence]]&amp;"",Tbl_Catalogue[],8,FALSE)),"-")</f>
        <v>-</v>
      </c>
      <c r="N34" s="5" t="str">
        <f>IFERROR(IF(VLOOKUP(Tbl_Donnees[[#This Row],[Référence]]&amp;"",Tbl_Catalogue[],9,FALSE)=0,"-",VLOOKUP(Tbl_Donnees[[#This Row],[Référence]]&amp;"",Tbl_Catalogue[],9,FALSE)),"-")</f>
        <v>-</v>
      </c>
      <c r="O34" s="5" t="str">
        <f>IFERROR(IF(VLOOKUP(Tbl_Donnees[[#This Row],[Référence]]&amp;"",Tbl_Catalogue[],11,FALSE)=0,"-",VLOOKUP(Tbl_Donnees[[#This Row],[Référence]]&amp;"",Tbl_Catalogue[],11,FALSE)),"-")</f>
        <v>-</v>
      </c>
      <c r="P34" s="2" t="str">
        <f>IFERROR(IF(VLOOKUP(Tbl_Donnees[[#This Row],[Référence]]&amp;"",Tbl_Catalogue[],12,FALSE)=0,"-",VLOOKUP(Tbl_Donnees[[#This Row],[Référence]]&amp;"",Tbl_Catalogue[],12,FALSE)),"-")</f>
        <v>-</v>
      </c>
      <c r="Q34" s="13" t="str">
        <f>IFERROR(IF(VLOOKUP(Tbl_Donnees[[#This Row],[Référence]]&amp;"",Tbl_Catalogue[],13,FALSE)=0,"-",VLOOKUP(Tbl_Donnees[[#This Row],[Référence]]&amp;"",Tbl_Catalogue[],13,FALSE)),"-")</f>
        <v>-</v>
      </c>
      <c r="R34" s="2"/>
    </row>
    <row r="35" spans="1:18" x14ac:dyDescent="0.2">
      <c r="A35" s="2" t="s">
        <v>3</v>
      </c>
      <c r="B35" s="5" t="s">
        <v>620</v>
      </c>
      <c r="C35" s="5" t="s">
        <v>60</v>
      </c>
      <c r="D35" s="6" t="str">
        <f>IFERROR(IF(VLOOKUP(Tbl_Donnees[[#This Row],[Référence]]&amp;"",Tbl_Catalogue[],3,FALSE)=0,"-",VLOOKUP(Tbl_Donnees[[#This Row],[Référence]]&amp;"",Tbl_Catalogue[],3,FALSE)),"-")</f>
        <v xml:space="preserve">MOD. 32 DI 24VCC SM321 </v>
      </c>
      <c r="E35" s="6">
        <v>2</v>
      </c>
      <c r="F35" s="6" t="str">
        <f>IFERROR(IF(VLOOKUP(Tbl_Donnees[[#This Row],[Référence]]&amp;"",Tbl_Catalogue[],2,FALSE)=0,"-",VLOOKUP(Tbl_Donnees[[#This Row],[Référence]]&amp;"",Tbl_Catalogue[],2,FALSE)),"-")</f>
        <v>SIEMENS</v>
      </c>
      <c r="G35" s="20" t="s">
        <v>8</v>
      </c>
      <c r="H35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35" s="2" t="str">
        <f>IFERROR(IF(VLOOKUP(Tbl_Donnees[[#This Row],[Référence]]&amp;"",Tbl_Catalogue[],5,FALSE)=0,"-",VLOOKUP(Tbl_Donnees[[#This Row],[Référence]]&amp;"",Tbl_Catalogue[],5,FALSE)),"INCONNU")</f>
        <v>RECHANGE</v>
      </c>
      <c r="J35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https://sieportal.siemens.com/en-ww/products-services/detail/6ES7321-1BL00-0AA0?tree=CatalogTree</v>
      </c>
      <c r="K35" s="2" t="str">
        <f>IFERROR(IF(VLOOKUP(Tbl_Donnees[[#This Row],[Référence]]&amp;"",Tbl_Catalogue[],7,FALSE)=0,"-",VLOOKUP(Tbl_Donnees[[#This Row],[Référence]]&amp;"",Tbl_Catalogue[],7,FALSE)),"-")</f>
        <v>INCONNU</v>
      </c>
      <c r="L35" s="5" t="str">
        <f>IFERROR(IF(VLOOKUP(Tbl_Donnees[[#This Row],[Référence]]&amp;"",Tbl_Catalogue[],10,FALSE)=0,"-",VLOOKUP(Tbl_Donnees[[#This Row],[Référence]]&amp;"",Tbl_Catalogue[],10,FALSE)),"-")</f>
        <v>-</v>
      </c>
      <c r="M35" s="2" t="str">
        <f>IFERROR(IF(VLOOKUP(Tbl_Donnees[[#This Row],[Référence]]&amp;"",Tbl_Catalogue[],8,FALSE)=0,"-",VLOOKUP(Tbl_Donnees[[#This Row],[Référence]]&amp;"",Tbl_Catalogue[],8,FALSE)),"-")</f>
        <v>-</v>
      </c>
      <c r="N35" s="5" t="str">
        <f>IFERROR(IF(VLOOKUP(Tbl_Donnees[[#This Row],[Référence]]&amp;"",Tbl_Catalogue[],9,FALSE)=0,"-",VLOOKUP(Tbl_Donnees[[#This Row],[Référence]]&amp;"",Tbl_Catalogue[],9,FALSE)),"-")</f>
        <v>-</v>
      </c>
      <c r="O35" s="5" t="str">
        <f>IFERROR(IF(VLOOKUP(Tbl_Donnees[[#This Row],[Référence]]&amp;"",Tbl_Catalogue[],11,FALSE)=0,"-",VLOOKUP(Tbl_Donnees[[#This Row],[Référence]]&amp;"",Tbl_Catalogue[],11,FALSE)),"-")</f>
        <v>-</v>
      </c>
      <c r="P35" s="2" t="str">
        <f>IFERROR(IF(VLOOKUP(Tbl_Donnees[[#This Row],[Référence]]&amp;"",Tbl_Catalogue[],12,FALSE)=0,"-",VLOOKUP(Tbl_Donnees[[#This Row],[Référence]]&amp;"",Tbl_Catalogue[],12,FALSE)),"-")</f>
        <v>-</v>
      </c>
      <c r="Q35" s="13" t="str">
        <f>IFERROR(IF(VLOOKUP(Tbl_Donnees[[#This Row],[Référence]]&amp;"",Tbl_Catalogue[],13,FALSE)=0,"-",VLOOKUP(Tbl_Donnees[[#This Row],[Référence]]&amp;"",Tbl_Catalogue[],13,FALSE)),"-")</f>
        <v>-</v>
      </c>
      <c r="R35" s="5"/>
    </row>
    <row r="36" spans="1:18" x14ac:dyDescent="0.2">
      <c r="A36" s="2" t="s">
        <v>3</v>
      </c>
      <c r="B36" s="5" t="s">
        <v>620</v>
      </c>
      <c r="C36" s="5" t="s">
        <v>60</v>
      </c>
      <c r="D36" s="6" t="str">
        <f>IFERROR(IF(VLOOKUP(Tbl_Donnees[[#This Row],[Référence]]&amp;"",Tbl_Catalogue[],3,FALSE)=0,"-",VLOOKUP(Tbl_Donnees[[#This Row],[Référence]]&amp;"",Tbl_Catalogue[],3,FALSE)),"-")</f>
        <v>MOD. 32 DO 24VCC 0.5A SM322</v>
      </c>
      <c r="E36" s="6">
        <v>1</v>
      </c>
      <c r="F36" s="6" t="str">
        <f>IFERROR(IF(VLOOKUP(Tbl_Donnees[[#This Row],[Référence]]&amp;"",Tbl_Catalogue[],2,FALSE)=0,"-",VLOOKUP(Tbl_Donnees[[#This Row],[Référence]]&amp;"",Tbl_Catalogue[],2,FALSE)),"-")</f>
        <v>SIEMENS</v>
      </c>
      <c r="G36" s="20" t="s">
        <v>9</v>
      </c>
      <c r="H36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36" s="2" t="str">
        <f>IFERROR(IF(VLOOKUP(Tbl_Donnees[[#This Row],[Référence]]&amp;"",Tbl_Catalogue[],5,FALSE)=0,"-",VLOOKUP(Tbl_Donnees[[#This Row],[Référence]]&amp;"",Tbl_Catalogue[],5,FALSE)),"INCONNU")</f>
        <v>RECHANGE</v>
      </c>
      <c r="J36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https://sieportal.siemens.com/en-ww/products-services/detail/6ES73221BL000AA0?tree=CatalogTree</v>
      </c>
      <c r="K36" s="2" t="str">
        <f>IFERROR(IF(VLOOKUP(Tbl_Donnees[[#This Row],[Référence]]&amp;"",Tbl_Catalogue[],7,FALSE)=0,"-",VLOOKUP(Tbl_Donnees[[#This Row],[Référence]]&amp;"",Tbl_Catalogue[],7,FALSE)),"-")</f>
        <v>INCONNU</v>
      </c>
      <c r="L36" s="5" t="str">
        <f>IFERROR(IF(VLOOKUP(Tbl_Donnees[[#This Row],[Référence]]&amp;"",Tbl_Catalogue[],10,FALSE)=0,"-",VLOOKUP(Tbl_Donnees[[#This Row],[Référence]]&amp;"",Tbl_Catalogue[],10,FALSE)),"-")</f>
        <v>-</v>
      </c>
      <c r="M36" s="2" t="str">
        <f>IFERROR(IF(VLOOKUP(Tbl_Donnees[[#This Row],[Référence]]&amp;"",Tbl_Catalogue[],8,FALSE)=0,"-",VLOOKUP(Tbl_Donnees[[#This Row],[Référence]]&amp;"",Tbl_Catalogue[],8,FALSE)),"-")</f>
        <v>-</v>
      </c>
      <c r="N36" s="5" t="str">
        <f>IFERROR(IF(VLOOKUP(Tbl_Donnees[[#This Row],[Référence]]&amp;"",Tbl_Catalogue[],9,FALSE)=0,"-",VLOOKUP(Tbl_Donnees[[#This Row],[Référence]]&amp;"",Tbl_Catalogue[],9,FALSE)),"-")</f>
        <v>-</v>
      </c>
      <c r="O36" s="5" t="str">
        <f>IFERROR(IF(VLOOKUP(Tbl_Donnees[[#This Row],[Référence]]&amp;"",Tbl_Catalogue[],11,FALSE)=0,"-",VLOOKUP(Tbl_Donnees[[#This Row],[Référence]]&amp;"",Tbl_Catalogue[],11,FALSE)),"-")</f>
        <v>-</v>
      </c>
      <c r="P36" s="2" t="str">
        <f>IFERROR(IF(VLOOKUP(Tbl_Donnees[[#This Row],[Référence]]&amp;"",Tbl_Catalogue[],12,FALSE)=0,"-",VLOOKUP(Tbl_Donnees[[#This Row],[Référence]]&amp;"",Tbl_Catalogue[],12,FALSE)),"-")</f>
        <v>-</v>
      </c>
      <c r="Q36" s="13" t="str">
        <f>IFERROR(IF(VLOOKUP(Tbl_Donnees[[#This Row],[Référence]]&amp;"",Tbl_Catalogue[],13,FALSE)=0,"-",VLOOKUP(Tbl_Donnees[[#This Row],[Référence]]&amp;"",Tbl_Catalogue[],13,FALSE)),"-")</f>
        <v>-</v>
      </c>
      <c r="R36" s="2"/>
    </row>
    <row r="37" spans="1:18" x14ac:dyDescent="0.2">
      <c r="A37" s="2" t="s">
        <v>3</v>
      </c>
      <c r="B37" s="5" t="s">
        <v>620</v>
      </c>
      <c r="C37" s="5" t="s">
        <v>60</v>
      </c>
      <c r="D37" s="6" t="str">
        <f>IFERROR(IF(VLOOKUP(Tbl_Donnees[[#This Row],[Référence]]&amp;"",Tbl_Catalogue[],3,FALSE)=0,"-",VLOOKUP(Tbl_Donnees[[#This Row],[Référence]]&amp;"",Tbl_Catalogue[],3,FALSE)),"-")</f>
        <v>MOD. 16 DO 24VCC 0.5A SM322</v>
      </c>
      <c r="E37" s="6">
        <v>1</v>
      </c>
      <c r="F37" s="6" t="str">
        <f>IFERROR(IF(VLOOKUP(Tbl_Donnees[[#This Row],[Référence]]&amp;"",Tbl_Catalogue[],2,FALSE)=0,"-",VLOOKUP(Tbl_Donnees[[#This Row],[Référence]]&amp;"",Tbl_Catalogue[],2,FALSE)),"-")</f>
        <v>SIEMENS</v>
      </c>
      <c r="G37" s="20" t="s">
        <v>10</v>
      </c>
      <c r="H37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37" s="2" t="str">
        <f>IFERROR(IF(VLOOKUP(Tbl_Donnees[[#This Row],[Référence]]&amp;"",Tbl_Catalogue[],5,FALSE)=0,"-",VLOOKUP(Tbl_Donnees[[#This Row],[Référence]]&amp;"",Tbl_Catalogue[],5,FALSE)),"INCONNU")</f>
        <v>RECHANGE</v>
      </c>
      <c r="J37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https://sieportal.siemens.com/en-ww/products-services/detail/6ES73221BH010AA0?tree=CatalogTree</v>
      </c>
      <c r="K37" s="2" t="str">
        <f>IFERROR(IF(VLOOKUP(Tbl_Donnees[[#This Row],[Référence]]&amp;"",Tbl_Catalogue[],7,FALSE)=0,"-",VLOOKUP(Tbl_Donnees[[#This Row],[Référence]]&amp;"",Tbl_Catalogue[],7,FALSE)),"-")</f>
        <v>INCONNU</v>
      </c>
      <c r="L37" s="5" t="str">
        <f>IFERROR(IF(VLOOKUP(Tbl_Donnees[[#This Row],[Référence]]&amp;"",Tbl_Catalogue[],10,FALSE)=0,"-",VLOOKUP(Tbl_Donnees[[#This Row],[Référence]]&amp;"",Tbl_Catalogue[],10,FALSE)),"-")</f>
        <v>-</v>
      </c>
      <c r="M37" s="2" t="str">
        <f>IFERROR(IF(VLOOKUP(Tbl_Donnees[[#This Row],[Référence]]&amp;"",Tbl_Catalogue[],8,FALSE)=0,"-",VLOOKUP(Tbl_Donnees[[#This Row],[Référence]]&amp;"",Tbl_Catalogue[],8,FALSE)),"-")</f>
        <v>-</v>
      </c>
      <c r="N37" s="5" t="str">
        <f>IFERROR(IF(VLOOKUP(Tbl_Donnees[[#This Row],[Référence]]&amp;"",Tbl_Catalogue[],9,FALSE)=0,"-",VLOOKUP(Tbl_Donnees[[#This Row],[Référence]]&amp;"",Tbl_Catalogue[],9,FALSE)),"-")</f>
        <v>-</v>
      </c>
      <c r="O37" s="5" t="str">
        <f>IFERROR(IF(VLOOKUP(Tbl_Donnees[[#This Row],[Référence]]&amp;"",Tbl_Catalogue[],11,FALSE)=0,"-",VLOOKUP(Tbl_Donnees[[#This Row],[Référence]]&amp;"",Tbl_Catalogue[],11,FALSE)),"-")</f>
        <v>-</v>
      </c>
      <c r="P37" s="2" t="str">
        <f>IFERROR(IF(VLOOKUP(Tbl_Donnees[[#This Row],[Référence]]&amp;"",Tbl_Catalogue[],12,FALSE)=0,"-",VLOOKUP(Tbl_Donnees[[#This Row],[Référence]]&amp;"",Tbl_Catalogue[],12,FALSE)),"-")</f>
        <v>-</v>
      </c>
      <c r="Q37" s="13" t="str">
        <f>IFERROR(IF(VLOOKUP(Tbl_Donnees[[#This Row],[Référence]]&amp;"",Tbl_Catalogue[],13,FALSE)=0,"-",VLOOKUP(Tbl_Donnees[[#This Row],[Référence]]&amp;"",Tbl_Catalogue[],13,FALSE)),"-")</f>
        <v>-</v>
      </c>
      <c r="R37" s="5"/>
    </row>
    <row r="38" spans="1:18" x14ac:dyDescent="0.2">
      <c r="A38" s="2" t="s">
        <v>3</v>
      </c>
      <c r="B38" s="5" t="s">
        <v>620</v>
      </c>
      <c r="C38" s="5" t="s">
        <v>60</v>
      </c>
      <c r="D38" s="6" t="str">
        <f>IFERROR(IF(VLOOKUP(Tbl_Donnees[[#This Row],[Référence]]&amp;"",Tbl_Catalogue[],3,FALSE)=0,"-",VLOOKUP(Tbl_Donnees[[#This Row],[Référence]]&amp;"",Tbl_Catalogue[],3,FALSE)),"-")</f>
        <v>MOD. 2 AO 11/12BIT SM332</v>
      </c>
      <c r="E38" s="6">
        <v>1</v>
      </c>
      <c r="F38" s="6" t="str">
        <f>IFERROR(IF(VLOOKUP(Tbl_Donnees[[#This Row],[Référence]]&amp;"",Tbl_Catalogue[],2,FALSE)=0,"-",VLOOKUP(Tbl_Donnees[[#This Row],[Référence]]&amp;"",Tbl_Catalogue[],2,FALSE)),"-")</f>
        <v>SIEMENS</v>
      </c>
      <c r="G38" s="20" t="s">
        <v>11</v>
      </c>
      <c r="H38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38" s="2" t="str">
        <f>IFERROR(IF(VLOOKUP(Tbl_Donnees[[#This Row],[Référence]]&amp;"",Tbl_Catalogue[],5,FALSE)=0,"-",VLOOKUP(Tbl_Donnees[[#This Row],[Référence]]&amp;"",Tbl_Catalogue[],5,FALSE)),"INCONNU")</f>
        <v>RECHANGE</v>
      </c>
      <c r="J38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https://sieportal.siemens.com/en-ww/products-services/detail/6ES7332-5HB01-0AB0?tree=CatalogTree</v>
      </c>
      <c r="K38" s="2" t="str">
        <f>IFERROR(IF(VLOOKUP(Tbl_Donnees[[#This Row],[Référence]]&amp;"",Tbl_Catalogue[],7,FALSE)=0,"-",VLOOKUP(Tbl_Donnees[[#This Row],[Référence]]&amp;"",Tbl_Catalogue[],7,FALSE)),"-")</f>
        <v>INCONNU</v>
      </c>
      <c r="L38" s="5" t="str">
        <f>IFERROR(IF(VLOOKUP(Tbl_Donnees[[#This Row],[Référence]]&amp;"",Tbl_Catalogue[],10,FALSE)=0,"-",VLOOKUP(Tbl_Donnees[[#This Row],[Référence]]&amp;"",Tbl_Catalogue[],10,FALSE)),"-")</f>
        <v>-</v>
      </c>
      <c r="M38" s="2" t="str">
        <f>IFERROR(IF(VLOOKUP(Tbl_Donnees[[#This Row],[Référence]]&amp;"",Tbl_Catalogue[],8,FALSE)=0,"-",VLOOKUP(Tbl_Donnees[[#This Row],[Référence]]&amp;"",Tbl_Catalogue[],8,FALSE)),"-")</f>
        <v>-</v>
      </c>
      <c r="N38" s="5" t="str">
        <f>IFERROR(IF(VLOOKUP(Tbl_Donnees[[#This Row],[Référence]]&amp;"",Tbl_Catalogue[],9,FALSE)=0,"-",VLOOKUP(Tbl_Donnees[[#This Row],[Référence]]&amp;"",Tbl_Catalogue[],9,FALSE)),"-")</f>
        <v>-</v>
      </c>
      <c r="O38" s="5" t="str">
        <f>IFERROR(IF(VLOOKUP(Tbl_Donnees[[#This Row],[Référence]]&amp;"",Tbl_Catalogue[],11,FALSE)=0,"-",VLOOKUP(Tbl_Donnees[[#This Row],[Référence]]&amp;"",Tbl_Catalogue[],11,FALSE)),"-")</f>
        <v>-</v>
      </c>
      <c r="P38" s="2" t="str">
        <f>IFERROR(IF(VLOOKUP(Tbl_Donnees[[#This Row],[Référence]]&amp;"",Tbl_Catalogue[],12,FALSE)=0,"-",VLOOKUP(Tbl_Donnees[[#This Row],[Référence]]&amp;"",Tbl_Catalogue[],12,FALSE)),"-")</f>
        <v>-</v>
      </c>
      <c r="Q38" s="13" t="str">
        <f>IFERROR(IF(VLOOKUP(Tbl_Donnees[[#This Row],[Référence]]&amp;"",Tbl_Catalogue[],13,FALSE)=0,"-",VLOOKUP(Tbl_Donnees[[#This Row],[Référence]]&amp;"",Tbl_Catalogue[],13,FALSE)),"-")</f>
        <v>-</v>
      </c>
      <c r="R38" s="2"/>
    </row>
    <row r="39" spans="1:18" x14ac:dyDescent="0.2">
      <c r="A39" s="2" t="s">
        <v>3</v>
      </c>
      <c r="B39" s="5" t="s">
        <v>620</v>
      </c>
      <c r="C39" s="5" t="s">
        <v>60</v>
      </c>
      <c r="D39" s="6" t="str">
        <f>IFERROR(IF(VLOOKUP(Tbl_Donnees[[#This Row],[Référence]]&amp;"",Tbl_Catalogue[],3,FALSE)=0,"-",VLOOKUP(Tbl_Donnees[[#This Row],[Référence]]&amp;"",Tbl_Catalogue[],3,FALSE)),"-")</f>
        <v>CARTE REGUL. SIMODRIVE 611</v>
      </c>
      <c r="E39" s="6">
        <v>1</v>
      </c>
      <c r="F39" s="6" t="str">
        <f>IFERROR(IF(VLOOKUP(Tbl_Donnees[[#This Row],[Référence]]&amp;"",Tbl_Catalogue[],2,FALSE)=0,"-",VLOOKUP(Tbl_Donnees[[#This Row],[Référence]]&amp;"",Tbl_Catalogue[],2,FALSE)),"-")</f>
        <v>SIEMENS</v>
      </c>
      <c r="G39" s="20" t="s">
        <v>20</v>
      </c>
      <c r="H39" s="6" t="str">
        <f>IFERROR(IF(VLOOKUP(Tbl_Donnees[[#This Row],[Référence]]&amp;"",Tbl_Catalogue[],4,FALSE)=0,"-",VLOOKUP(Tbl_Donnees[[#This Row],[Référence]]&amp;"",Tbl_Catalogue[],4,FALSE)),"-")</f>
        <v>Pièce de rechange (03/11/2014)</v>
      </c>
      <c r="I39" s="2" t="str">
        <f>IFERROR(IF(VLOOKUP(Tbl_Donnees[[#This Row],[Référence]]&amp;"",Tbl_Catalogue[],5,FALSE)=0,"-",VLOOKUP(Tbl_Donnees[[#This Row],[Référence]]&amp;"",Tbl_Catalogue[],5,FALSE)),"INCONNU")</f>
        <v>RECHANGE</v>
      </c>
      <c r="J3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https://sieportal.siemens.com/fr-fr/products-services/detail/6SN1118-0NJ01-0AA1?tree=CatalogTree</v>
      </c>
      <c r="K39" s="2" t="str">
        <f>IFERROR(IF(VLOOKUP(Tbl_Donnees[[#This Row],[Référence]]&amp;"",Tbl_Catalogue[],7,FALSE)=0,"-",VLOOKUP(Tbl_Donnees[[#This Row],[Référence]]&amp;"",Tbl_Catalogue[],7,FALSE)),"-")</f>
        <v>INCONNU</v>
      </c>
      <c r="L39" s="5" t="str">
        <f>IFERROR(IF(VLOOKUP(Tbl_Donnees[[#This Row],[Référence]]&amp;"",Tbl_Catalogue[],10,FALSE)=0,"-",VLOOKUP(Tbl_Donnees[[#This Row],[Référence]]&amp;"",Tbl_Catalogue[],10,FALSE)),"-")</f>
        <v>-</v>
      </c>
      <c r="M39" s="2" t="str">
        <f>IFERROR(IF(VLOOKUP(Tbl_Donnees[[#This Row],[Référence]]&amp;"",Tbl_Catalogue[],8,FALSE)=0,"-",VLOOKUP(Tbl_Donnees[[#This Row],[Référence]]&amp;"",Tbl_Catalogue[],8,FALSE)),"-")</f>
        <v>-</v>
      </c>
      <c r="N39" s="5" t="str">
        <f>IFERROR(IF(VLOOKUP(Tbl_Donnees[[#This Row],[Référence]]&amp;"",Tbl_Catalogue[],9,FALSE)=0,"-",VLOOKUP(Tbl_Donnees[[#This Row],[Référence]]&amp;"",Tbl_Catalogue[],9,FALSE)),"-")</f>
        <v>-</v>
      </c>
      <c r="O39" s="5" t="str">
        <f>IFERROR(IF(VLOOKUP(Tbl_Donnees[[#This Row],[Référence]]&amp;"",Tbl_Catalogue[],11,FALSE)=0,"-",VLOOKUP(Tbl_Donnees[[#This Row],[Référence]]&amp;"",Tbl_Catalogue[],11,FALSE)),"-")</f>
        <v>-</v>
      </c>
      <c r="P39" s="2" t="str">
        <f>IFERROR(IF(VLOOKUP(Tbl_Donnees[[#This Row],[Référence]]&amp;"",Tbl_Catalogue[],12,FALSE)=0,"-",VLOOKUP(Tbl_Donnees[[#This Row],[Référence]]&amp;"",Tbl_Catalogue[],12,FALSE)),"-")</f>
        <v>-</v>
      </c>
      <c r="Q39" s="13" t="str">
        <f>IFERROR(IF(VLOOKUP(Tbl_Donnees[[#This Row],[Référence]]&amp;"",Tbl_Catalogue[],13,FALSE)=0,"-",VLOOKUP(Tbl_Donnees[[#This Row],[Référence]]&amp;"",Tbl_Catalogue[],13,FALSE)),"-")</f>
        <v>-</v>
      </c>
      <c r="R39" s="5"/>
    </row>
    <row r="40" spans="1:18" x14ac:dyDescent="0.2">
      <c r="A40" s="2" t="s">
        <v>3</v>
      </c>
      <c r="B40" s="5" t="s">
        <v>620</v>
      </c>
      <c r="C40" s="5" t="s">
        <v>60</v>
      </c>
      <c r="D40" s="6" t="str">
        <f>IFERROR(IF(VLOOKUP(Tbl_Donnees[[#This Row],[Référence]]&amp;"",Tbl_Catalogue[],3,FALSE)=0,"-",VLOOKUP(Tbl_Donnees[[#This Row],[Référence]]&amp;"",Tbl_Catalogue[],3,FALSE)),"-")</f>
        <v>TOLE RACCORD. SIMODRIVE 611</v>
      </c>
      <c r="E40" s="6">
        <v>1</v>
      </c>
      <c r="F40" s="6" t="str">
        <f>IFERROR(IF(VLOOKUP(Tbl_Donnees[[#This Row],[Référence]]&amp;"",Tbl_Catalogue[],2,FALSE)=0,"-",VLOOKUP(Tbl_Donnees[[#This Row],[Référence]]&amp;"",Tbl_Catalogue[],2,FALSE)),"-")</f>
        <v>SIEMENS</v>
      </c>
      <c r="G40" s="20" t="s">
        <v>21</v>
      </c>
      <c r="H40" s="6" t="str">
        <f>IFERROR(IF(VLOOKUP(Tbl_Donnees[[#This Row],[Référence]]&amp;"",Tbl_Catalogue[],4,FALSE)=0,"-",VLOOKUP(Tbl_Donnees[[#This Row],[Référence]]&amp;"",Tbl_Catalogue[],4,FALSE)),"-")</f>
        <v>Pièce de rechange (01/04/2015)</v>
      </c>
      <c r="I40" s="2" t="str">
        <f>IFERROR(IF(VLOOKUP(Tbl_Donnees[[#This Row],[Référence]]&amp;"",Tbl_Catalogue[],5,FALSE)=0,"-",VLOOKUP(Tbl_Donnees[[#This Row],[Référence]]&amp;"",Tbl_Catalogue[],5,FALSE)),"INCONNU")</f>
        <v>RECHANGE</v>
      </c>
      <c r="J4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https://sieportal.siemens.com/fr-fr/products-services/detail/6SN1162-0EA00-0CA0?tree=CatalogTree</v>
      </c>
      <c r="K40" s="2" t="str">
        <f>IFERROR(IF(VLOOKUP(Tbl_Donnees[[#This Row],[Référence]]&amp;"",Tbl_Catalogue[],7,FALSE)=0,"-",VLOOKUP(Tbl_Donnees[[#This Row],[Référence]]&amp;"",Tbl_Catalogue[],7,FALSE)),"-")</f>
        <v>INCONNU</v>
      </c>
      <c r="L40" s="5" t="str">
        <f>IFERROR(IF(VLOOKUP(Tbl_Donnees[[#This Row],[Référence]]&amp;"",Tbl_Catalogue[],10,FALSE)=0,"-",VLOOKUP(Tbl_Donnees[[#This Row],[Référence]]&amp;"",Tbl_Catalogue[],10,FALSE)),"-")</f>
        <v>-</v>
      </c>
      <c r="M40" s="2" t="str">
        <f>IFERROR(IF(VLOOKUP(Tbl_Donnees[[#This Row],[Référence]]&amp;"",Tbl_Catalogue[],8,FALSE)=0,"-",VLOOKUP(Tbl_Donnees[[#This Row],[Référence]]&amp;"",Tbl_Catalogue[],8,FALSE)),"-")</f>
        <v>-</v>
      </c>
      <c r="N40" s="5" t="str">
        <f>IFERROR(IF(VLOOKUP(Tbl_Donnees[[#This Row],[Référence]]&amp;"",Tbl_Catalogue[],9,FALSE)=0,"-",VLOOKUP(Tbl_Donnees[[#This Row],[Référence]]&amp;"",Tbl_Catalogue[],9,FALSE)),"-")</f>
        <v>-</v>
      </c>
      <c r="O40" s="5" t="str">
        <f>IFERROR(IF(VLOOKUP(Tbl_Donnees[[#This Row],[Référence]]&amp;"",Tbl_Catalogue[],11,FALSE)=0,"-",VLOOKUP(Tbl_Donnees[[#This Row],[Référence]]&amp;"",Tbl_Catalogue[],11,FALSE)),"-")</f>
        <v>-</v>
      </c>
      <c r="P40" s="2" t="str">
        <f>IFERROR(IF(VLOOKUP(Tbl_Donnees[[#This Row],[Référence]]&amp;"",Tbl_Catalogue[],12,FALSE)=0,"-",VLOOKUP(Tbl_Donnees[[#This Row],[Référence]]&amp;"",Tbl_Catalogue[],12,FALSE)),"-")</f>
        <v>-</v>
      </c>
      <c r="Q40" s="13" t="str">
        <f>IFERROR(IF(VLOOKUP(Tbl_Donnees[[#This Row],[Référence]]&amp;"",Tbl_Catalogue[],13,FALSE)=0,"-",VLOOKUP(Tbl_Donnees[[#This Row],[Référence]]&amp;"",Tbl_Catalogue[],13,FALSE)),"-")</f>
        <v>-</v>
      </c>
      <c r="R40" s="2"/>
    </row>
    <row r="41" spans="1:18" x14ac:dyDescent="0.2">
      <c r="A41" s="2" t="s">
        <v>3</v>
      </c>
      <c r="B41" s="5" t="s">
        <v>620</v>
      </c>
      <c r="C41" s="5" t="s">
        <v>60</v>
      </c>
      <c r="D41" s="6" t="str">
        <f>IFERROR(IF(VLOOKUP(Tbl_Donnees[[#This Row],[Référence]]&amp;"",Tbl_Catalogue[],3,FALSE)=0,"-",VLOOKUP(Tbl_Donnees[[#This Row],[Référence]]&amp;"",Tbl_Catalogue[],3,FALSE)),"-")</f>
        <v>TOLE RACCORD. SIMODRIVE 611</v>
      </c>
      <c r="E41" s="6">
        <v>1</v>
      </c>
      <c r="F41" s="6" t="str">
        <f>IFERROR(IF(VLOOKUP(Tbl_Donnees[[#This Row],[Référence]]&amp;"",Tbl_Catalogue[],2,FALSE)=0,"-",VLOOKUP(Tbl_Donnees[[#This Row],[Référence]]&amp;"",Tbl_Catalogue[],2,FALSE)),"-")</f>
        <v>SIEMENS</v>
      </c>
      <c r="G41" s="20" t="s">
        <v>84</v>
      </c>
      <c r="H41" s="6" t="str">
        <f>IFERROR(IF(VLOOKUP(Tbl_Donnees[[#This Row],[Référence]]&amp;"",Tbl_Catalogue[],4,FALSE)=0,"-",VLOOKUP(Tbl_Donnees[[#This Row],[Référence]]&amp;"",Tbl_Catalogue[],4,FALSE)),"-")</f>
        <v>Pièce de rechange (01/04/2015)</v>
      </c>
      <c r="I41" s="2" t="str">
        <f>IFERROR(IF(VLOOKUP(Tbl_Donnees[[#This Row],[Référence]]&amp;"",Tbl_Catalogue[],5,FALSE)=0,"-",VLOOKUP(Tbl_Donnees[[#This Row],[Référence]]&amp;"",Tbl_Catalogue[],5,FALSE)),"INCONNU")</f>
        <v>RECHANGE</v>
      </c>
      <c r="J4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https://sieportal.siemens.com/fr-fr/products-services/detail/6SN1162-0EA00-0AA0?tree=CatalogTree</v>
      </c>
      <c r="K41" s="2" t="str">
        <f>IFERROR(IF(VLOOKUP(Tbl_Donnees[[#This Row],[Référence]]&amp;"",Tbl_Catalogue[],7,FALSE)=0,"-",VLOOKUP(Tbl_Donnees[[#This Row],[Référence]]&amp;"",Tbl_Catalogue[],7,FALSE)),"-")</f>
        <v>INCONNU</v>
      </c>
      <c r="L41" s="5" t="str">
        <f>IFERROR(IF(VLOOKUP(Tbl_Donnees[[#This Row],[Référence]]&amp;"",Tbl_Catalogue[],10,FALSE)=0,"-",VLOOKUP(Tbl_Donnees[[#This Row],[Référence]]&amp;"",Tbl_Catalogue[],10,FALSE)),"-")</f>
        <v>-</v>
      </c>
      <c r="M41" s="2" t="str">
        <f>IFERROR(IF(VLOOKUP(Tbl_Donnees[[#This Row],[Référence]]&amp;"",Tbl_Catalogue[],8,FALSE)=0,"-",VLOOKUP(Tbl_Donnees[[#This Row],[Référence]]&amp;"",Tbl_Catalogue[],8,FALSE)),"-")</f>
        <v>-</v>
      </c>
      <c r="N41" s="5" t="str">
        <f>IFERROR(IF(VLOOKUP(Tbl_Donnees[[#This Row],[Référence]]&amp;"",Tbl_Catalogue[],9,FALSE)=0,"-",VLOOKUP(Tbl_Donnees[[#This Row],[Référence]]&amp;"",Tbl_Catalogue[],9,FALSE)),"-")</f>
        <v>-</v>
      </c>
      <c r="O41" s="5" t="str">
        <f>IFERROR(IF(VLOOKUP(Tbl_Donnees[[#This Row],[Référence]]&amp;"",Tbl_Catalogue[],11,FALSE)=0,"-",VLOOKUP(Tbl_Donnees[[#This Row],[Référence]]&amp;"",Tbl_Catalogue[],11,FALSE)),"-")</f>
        <v>-</v>
      </c>
      <c r="P41" s="2" t="str">
        <f>IFERROR(IF(VLOOKUP(Tbl_Donnees[[#This Row],[Référence]]&amp;"",Tbl_Catalogue[],12,FALSE)=0,"-",VLOOKUP(Tbl_Donnees[[#This Row],[Référence]]&amp;"",Tbl_Catalogue[],12,FALSE)),"-")</f>
        <v>-</v>
      </c>
      <c r="Q41" s="13" t="str">
        <f>IFERROR(IF(VLOOKUP(Tbl_Donnees[[#This Row],[Référence]]&amp;"",Tbl_Catalogue[],13,FALSE)=0,"-",VLOOKUP(Tbl_Donnees[[#This Row],[Référence]]&amp;"",Tbl_Catalogue[],13,FALSE)),"-")</f>
        <v>-</v>
      </c>
      <c r="R41" s="5"/>
    </row>
    <row r="42" spans="1:18" x14ac:dyDescent="0.2">
      <c r="A42" s="2" t="s">
        <v>3</v>
      </c>
      <c r="B42" s="5" t="s">
        <v>620</v>
      </c>
      <c r="C42" s="5" t="s">
        <v>60</v>
      </c>
      <c r="D42" s="6" t="str">
        <f>IFERROR(IF(VLOOKUP(Tbl_Donnees[[#This Row],[Référence]]&amp;"",Tbl_Catalogue[],3,FALSE)=0,"-",VLOOKUP(Tbl_Donnees[[#This Row],[Référence]]&amp;"",Tbl_Catalogue[],3,FALSE)),"-")</f>
        <v>MOTEUR BROCHE 1PH7</v>
      </c>
      <c r="E42" s="6">
        <v>1</v>
      </c>
      <c r="F42" s="6" t="str">
        <f>IFERROR(IF(VLOOKUP(Tbl_Donnees[[#This Row],[Référence]]&amp;"",Tbl_Catalogue[],2,FALSE)=0,"-",VLOOKUP(Tbl_Donnees[[#This Row],[Référence]]&amp;"",Tbl_Catalogue[],2,FALSE)),"-")</f>
        <v>SIEMENS</v>
      </c>
      <c r="G42" s="20" t="s">
        <v>87</v>
      </c>
      <c r="H42" s="6" t="str">
        <f>IFERROR(IF(VLOOKUP(Tbl_Donnees[[#This Row],[Référence]]&amp;"",Tbl_Catalogue[],4,FALSE)=0,"-",VLOOKUP(Tbl_Donnees[[#This Row],[Référence]]&amp;"",Tbl_Catalogue[],4,FALSE)),"-")</f>
        <v>PIÈCE DE RECHANGE (01/10/2015)</v>
      </c>
      <c r="I42" s="2" t="str">
        <f>IFERROR(IF(VLOOKUP(Tbl_Donnees[[#This Row],[Référence]]&amp;"",Tbl_Catalogue[],5,FALSE)=0,"-",VLOOKUP(Tbl_Donnees[[#This Row],[Référence]]&amp;"",Tbl_Catalogue[],5,FALSE)),"INCONNU")</f>
        <v>RECHANGE</v>
      </c>
      <c r="J4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https://sieportal.siemens.com/fr-fr/products-services/detail/1PH7133-2NG00-0BJ0?tree=CatalogTree</v>
      </c>
      <c r="K42" s="2" t="str">
        <f>IFERROR(IF(VLOOKUP(Tbl_Donnees[[#This Row],[Référence]]&amp;"",Tbl_Catalogue[],7,FALSE)=0,"-",VLOOKUP(Tbl_Donnees[[#This Row],[Référence]]&amp;"",Tbl_Catalogue[],7,FALSE)),"-")</f>
        <v>INCONNU</v>
      </c>
      <c r="L42" s="5" t="str">
        <f>IFERROR(IF(VLOOKUP(Tbl_Donnees[[#This Row],[Référence]]&amp;"",Tbl_Catalogue[],10,FALSE)=0,"-",VLOOKUP(Tbl_Donnees[[#This Row],[Référence]]&amp;"",Tbl_Catalogue[],10,FALSE)),"-")</f>
        <v>-</v>
      </c>
      <c r="M42" s="2" t="str">
        <f>IFERROR(IF(VLOOKUP(Tbl_Donnees[[#This Row],[Référence]]&amp;"",Tbl_Catalogue[],8,FALSE)=0,"-",VLOOKUP(Tbl_Donnees[[#This Row],[Référence]]&amp;"",Tbl_Catalogue[],8,FALSE)),"-")</f>
        <v>-</v>
      </c>
      <c r="N42" s="5" t="str">
        <f>IFERROR(IF(VLOOKUP(Tbl_Donnees[[#This Row],[Référence]]&amp;"",Tbl_Catalogue[],9,FALSE)=0,"-",VLOOKUP(Tbl_Donnees[[#This Row],[Référence]]&amp;"",Tbl_Catalogue[],9,FALSE)),"-")</f>
        <v>-</v>
      </c>
      <c r="O42" s="5" t="str">
        <f>IFERROR(IF(VLOOKUP(Tbl_Donnees[[#This Row],[Référence]]&amp;"",Tbl_Catalogue[],11,FALSE)=0,"-",VLOOKUP(Tbl_Donnees[[#This Row],[Référence]]&amp;"",Tbl_Catalogue[],11,FALSE)),"-")</f>
        <v>-</v>
      </c>
      <c r="P42" s="2" t="str">
        <f>IFERROR(IF(VLOOKUP(Tbl_Donnees[[#This Row],[Référence]]&amp;"",Tbl_Catalogue[],12,FALSE)=0,"-",VLOOKUP(Tbl_Donnees[[#This Row],[Référence]]&amp;"",Tbl_Catalogue[],12,FALSE)),"-")</f>
        <v>-</v>
      </c>
      <c r="Q42" s="13" t="str">
        <f>IFERROR(IF(VLOOKUP(Tbl_Donnees[[#This Row],[Référence]]&amp;"",Tbl_Catalogue[],13,FALSE)=0,"-",VLOOKUP(Tbl_Donnees[[#This Row],[Référence]]&amp;"",Tbl_Catalogue[],13,FALSE)),"-")</f>
        <v>-</v>
      </c>
      <c r="R42" s="2"/>
    </row>
    <row r="43" spans="1:18" x14ac:dyDescent="0.2">
      <c r="A43" s="2" t="s">
        <v>3</v>
      </c>
      <c r="B43" s="5" t="s">
        <v>620</v>
      </c>
      <c r="C43" s="5" t="s">
        <v>60</v>
      </c>
      <c r="D43" s="6" t="str">
        <f>IFERROR(IF(VLOOKUP(Tbl_Donnees[[#This Row],[Référence]]&amp;"",Tbl_Catalogue[],3,FALSE)=0,"-",VLOOKUP(Tbl_Donnees[[#This Row],[Référence]]&amp;"",Tbl_Catalogue[],3,FALSE)),"-")</f>
        <v>PLC S7-300 CPU 314</v>
      </c>
      <c r="E43" s="6">
        <v>1</v>
      </c>
      <c r="F43" s="6" t="str">
        <f>IFERROR(IF(VLOOKUP(Tbl_Donnees[[#This Row],[Référence]]&amp;"",Tbl_Catalogue[],2,FALSE)=0,"-",VLOOKUP(Tbl_Donnees[[#This Row],[Référence]]&amp;"",Tbl_Catalogue[],2,FALSE)),"-")</f>
        <v>SIEMENS</v>
      </c>
      <c r="G43" s="20" t="s">
        <v>5</v>
      </c>
      <c r="H43" s="6" t="str">
        <f>IFERROR(IF(VLOOKUP(Tbl_Donnees[[#This Row],[Référence]]&amp;"",Tbl_Catalogue[],4,FALSE)=0,"-",VLOOKUP(Tbl_Donnees[[#This Row],[Référence]]&amp;"",Tbl_Catalogue[],4,FALSE)),"-")</f>
        <v>Fin de vie du produit (01/10/2022)</v>
      </c>
      <c r="I43" s="2" t="str">
        <f>IFERROR(IF(VLOOKUP(Tbl_Donnees[[#This Row],[Référence]]&amp;"",Tbl_Catalogue[],5,FALSE)=0,"-",VLOOKUP(Tbl_Donnees[[#This Row],[Référence]]&amp;"",Tbl_Catalogue[],5,FALSE)),"INCONNU")</f>
        <v>OBSOLETE</v>
      </c>
      <c r="J4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https://sieportal.siemens.com/fr-fr/products-services/detail/6ES7314-1AE04-0AB0?tree=CatalogTree</v>
      </c>
      <c r="K43" s="2" t="str">
        <f>IFERROR(IF(VLOOKUP(Tbl_Donnees[[#This Row],[Référence]]&amp;"",Tbl_Catalogue[],7,FALSE)=0,"-",VLOOKUP(Tbl_Donnees[[#This Row],[Référence]]&amp;"",Tbl_Catalogue[],7,FALSE)),"-")</f>
        <v>NON</v>
      </c>
      <c r="L43" s="5" t="str">
        <f>IFERROR(IF(VLOOKUP(Tbl_Donnees[[#This Row],[Référence]]&amp;"",Tbl_Catalogue[],10,FALSE)=0,"-",VLOOKUP(Tbl_Donnees[[#This Row],[Référence]]&amp;"",Tbl_Catalogue[],10,FALSE)),"-")</f>
        <v>-</v>
      </c>
      <c r="M43" s="2" t="str">
        <f>IFERROR(IF(VLOOKUP(Tbl_Donnees[[#This Row],[Référence]]&amp;"",Tbl_Catalogue[],8,FALSE)=0,"-",VLOOKUP(Tbl_Donnees[[#This Row],[Référence]]&amp;"",Tbl_Catalogue[],8,FALSE)),"-")</f>
        <v>-</v>
      </c>
      <c r="N43" s="5" t="str">
        <f>IFERROR(IF(VLOOKUP(Tbl_Donnees[[#This Row],[Référence]]&amp;"",Tbl_Catalogue[],9,FALSE)=0,"-",VLOOKUP(Tbl_Donnees[[#This Row],[Référence]]&amp;"",Tbl_Catalogue[],9,FALSE)),"-")</f>
        <v>-</v>
      </c>
      <c r="O43" s="5" t="str">
        <f>IFERROR(IF(VLOOKUP(Tbl_Donnees[[#This Row],[Référence]]&amp;"",Tbl_Catalogue[],11,FALSE)=0,"-",VLOOKUP(Tbl_Donnees[[#This Row],[Référence]]&amp;"",Tbl_Catalogue[],11,FALSE)),"-")</f>
        <v>-</v>
      </c>
      <c r="P43" s="2" t="str">
        <f>IFERROR(IF(VLOOKUP(Tbl_Donnees[[#This Row],[Référence]]&amp;"",Tbl_Catalogue[],12,FALSE)=0,"-",VLOOKUP(Tbl_Donnees[[#This Row],[Référence]]&amp;"",Tbl_Catalogue[],12,FALSE)),"-")</f>
        <v>-</v>
      </c>
      <c r="Q43" s="13" t="str">
        <f>IFERROR(IF(VLOOKUP(Tbl_Donnees[[#This Row],[Référence]]&amp;"",Tbl_Catalogue[],13,FALSE)=0,"-",VLOOKUP(Tbl_Donnees[[#This Row],[Référence]]&amp;"",Tbl_Catalogue[],13,FALSE)),"-")</f>
        <v>-</v>
      </c>
      <c r="R43" s="5"/>
    </row>
    <row r="44" spans="1:18" x14ac:dyDescent="0.2">
      <c r="A44" s="2" t="s">
        <v>3</v>
      </c>
      <c r="B44" s="5" t="s">
        <v>620</v>
      </c>
      <c r="C44" s="5" t="s">
        <v>60</v>
      </c>
      <c r="D44" s="6" t="str">
        <f>IFERROR(IF(VLOOKUP(Tbl_Donnees[[#This Row],[Référence]]&amp;"",Tbl_Catalogue[],3,FALSE)=0,"-",VLOOKUP(Tbl_Donnees[[#This Row],[Référence]]&amp;"",Tbl_Catalogue[],3,FALSE)),"-")</f>
        <v>MOD. COMPTAGE FM350</v>
      </c>
      <c r="E44" s="6">
        <v>2</v>
      </c>
      <c r="F44" s="6" t="str">
        <f>IFERROR(IF(VLOOKUP(Tbl_Donnees[[#This Row],[Référence]]&amp;"",Tbl_Catalogue[],2,FALSE)=0,"-",VLOOKUP(Tbl_Donnees[[#This Row],[Référence]]&amp;"",Tbl_Catalogue[],2,FALSE)),"-")</f>
        <v>SIEMENS</v>
      </c>
      <c r="G44" s="20" t="s">
        <v>7</v>
      </c>
      <c r="H44" s="6" t="str">
        <f>IFERROR(IF(VLOOKUP(Tbl_Donnees[[#This Row],[Référence]]&amp;"",Tbl_Catalogue[],4,FALSE)=0,"-",VLOOKUP(Tbl_Donnees[[#This Row],[Référence]]&amp;"",Tbl_Catalogue[],4,FALSE)),"-")</f>
        <v>Fin de vie du produit (01/10/2011)</v>
      </c>
      <c r="I44" s="2" t="str">
        <f>IFERROR(IF(VLOOKUP(Tbl_Donnees[[#This Row],[Référence]]&amp;"",Tbl_Catalogue[],5,FALSE)=0,"-",VLOOKUP(Tbl_Donnees[[#This Row],[Référence]]&amp;"",Tbl_Catalogue[],5,FALSE)),"INCONNU")</f>
        <v>OBSOLETE</v>
      </c>
      <c r="J44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https://sieportal.siemens.com/fr-ww/products-services/detail/6ES7350-1AH02-0AE0?tree=CatalogTree</v>
      </c>
      <c r="K44" s="2" t="str">
        <f>IFERROR(IF(VLOOKUP(Tbl_Donnees[[#This Row],[Référence]]&amp;"",Tbl_Catalogue[],7,FALSE)=0,"-",VLOOKUP(Tbl_Donnees[[#This Row],[Référence]]&amp;"",Tbl_Catalogue[],7,FALSE)),"-")</f>
        <v>OUI</v>
      </c>
      <c r="L44" s="5" t="str">
        <f>IFERROR(IF(VLOOKUP(Tbl_Donnees[[#This Row],[Référence]]&amp;"",Tbl_Catalogue[],10,FALSE)=0,"-",VLOOKUP(Tbl_Donnees[[#This Row],[Référence]]&amp;"",Tbl_Catalogue[],10,FALSE)),"-")</f>
        <v>-</v>
      </c>
      <c r="M44" s="2" t="str">
        <f>IFERROR(IF(VLOOKUP(Tbl_Donnees[[#This Row],[Référence]]&amp;"",Tbl_Catalogue[],8,FALSE)=0,"-",VLOOKUP(Tbl_Donnees[[#This Row],[Référence]]&amp;"",Tbl_Catalogue[],8,FALSE)),"-")</f>
        <v>6ES7350-1AH03-0AE0</v>
      </c>
      <c r="N44" s="5" t="str">
        <f>IFERROR(IF(VLOOKUP(Tbl_Donnees[[#This Row],[Référence]]&amp;"",Tbl_Catalogue[],9,FALSE)=0,"-",VLOOKUP(Tbl_Donnees[[#This Row],[Référence]]&amp;"",Tbl_Catalogue[],9,FALSE)),"-")</f>
        <v>SIEMENS</v>
      </c>
      <c r="O44" s="5" t="str">
        <f>IFERROR(IF(VLOOKUP(Tbl_Donnees[[#This Row],[Référence]]&amp;"",Tbl_Catalogue[],11,FALSE)=0,"-",VLOOKUP(Tbl_Donnees[[#This Row],[Référence]]&amp;"",Tbl_Catalogue[],11,FALSE)),"-")</f>
        <v>Pièce de rechange (01/10/2025)</v>
      </c>
      <c r="P44" s="2" t="str">
        <f>IFERROR(IF(VLOOKUP(Tbl_Donnees[[#This Row],[Référence]]&amp;"",Tbl_Catalogue[],12,FALSE)=0,"-",VLOOKUP(Tbl_Donnees[[#This Row],[Référence]]&amp;"",Tbl_Catalogue[],12,FALSE)),"-")</f>
        <v>RECHANGE</v>
      </c>
      <c r="Q44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https://sieportal.siemens.com/fr-ww/products-services/detail/6ES7350-1AH03-0AE0?tree=CatalogTree</v>
      </c>
      <c r="R44" s="2"/>
    </row>
    <row r="45" spans="1:18" x14ac:dyDescent="0.2">
      <c r="A45" s="2" t="s">
        <v>3</v>
      </c>
      <c r="B45" s="5" t="s">
        <v>620</v>
      </c>
      <c r="C45" s="5" t="s">
        <v>60</v>
      </c>
      <c r="D45" s="6" t="str">
        <f>IFERROR(IF(VLOOKUP(Tbl_Donnees[[#This Row],[Référence]]&amp;"",Tbl_Catalogue[],3,FALSE)=0,"-",VLOOKUP(Tbl_Donnees[[#This Row],[Référence]]&amp;"",Tbl_Catalogue[],3,FALSE)),"-")</f>
        <v>PUPITRE IHM OP17/DP</v>
      </c>
      <c r="E45" s="6">
        <v>1</v>
      </c>
      <c r="F45" s="6" t="str">
        <f>IFERROR(IF(VLOOKUP(Tbl_Donnees[[#This Row],[Référence]]&amp;"",Tbl_Catalogue[],2,FALSE)=0,"-",VLOOKUP(Tbl_Donnees[[#This Row],[Référence]]&amp;"",Tbl_Catalogue[],2,FALSE)),"-")</f>
        <v>SIEMENS</v>
      </c>
      <c r="G45" s="20" t="s">
        <v>79</v>
      </c>
      <c r="H45" s="6" t="str">
        <f>IFERROR(IF(VLOOKUP(Tbl_Donnees[[#This Row],[Référence]]&amp;"",Tbl_Catalogue[],4,FALSE)=0,"-",VLOOKUP(Tbl_Donnees[[#This Row],[Référence]]&amp;"",Tbl_Catalogue[],4,FALSE)),"-")</f>
        <v>Fin de vie du produit (01/10/2018)</v>
      </c>
      <c r="I45" s="2" t="str">
        <f>IFERROR(IF(VLOOKUP(Tbl_Donnees[[#This Row],[Référence]]&amp;"",Tbl_Catalogue[],5,FALSE)=0,"-",VLOOKUP(Tbl_Donnees[[#This Row],[Référence]]&amp;"",Tbl_Catalogue[],5,FALSE)),"INCONNU")</f>
        <v>OBSOLETE</v>
      </c>
      <c r="J4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https://sieportal.siemens.com/fr-fr/products-services/detail/6AV3617-1JC20-0AX1?tree=CatalogTree</v>
      </c>
      <c r="K45" s="2" t="str">
        <f>IFERROR(IF(VLOOKUP(Tbl_Donnees[[#This Row],[Référence]]&amp;"",Tbl_Catalogue[],7,FALSE)=0,"-",VLOOKUP(Tbl_Donnees[[#This Row],[Référence]]&amp;"",Tbl_Catalogue[],7,FALSE)),"-")</f>
        <v>OUI</v>
      </c>
      <c r="L45" s="5" t="str">
        <f>IFERROR(IF(VLOOKUP(Tbl_Donnees[[#This Row],[Référence]]&amp;"",Tbl_Catalogue[],10,FALSE)=0,"-",VLOOKUP(Tbl_Donnees[[#This Row],[Référence]]&amp;"",Tbl_Catalogue[],10,FALSE)),"-")</f>
        <v>-</v>
      </c>
      <c r="M45" s="2" t="str">
        <f>IFERROR(IF(VLOOKUP(Tbl_Donnees[[#This Row],[Référence]]&amp;"",Tbl_Catalogue[],8,FALSE)=0,"-",VLOOKUP(Tbl_Donnees[[#This Row],[Référence]]&amp;"",Tbl_Catalogue[],8,FALSE)),"-")</f>
        <v>6AV3617-1JC20-0AX2</v>
      </c>
      <c r="N45" s="5" t="str">
        <f>IFERROR(IF(VLOOKUP(Tbl_Donnees[[#This Row],[Référence]]&amp;"",Tbl_Catalogue[],9,FALSE)=0,"-",VLOOKUP(Tbl_Donnees[[#This Row],[Référence]]&amp;"",Tbl_Catalogue[],9,FALSE)),"-")</f>
        <v>SIEMENS</v>
      </c>
      <c r="O45" s="5" t="str">
        <f>IFERROR(IF(VLOOKUP(Tbl_Donnees[[#This Row],[Référence]]&amp;"",Tbl_Catalogue[],11,FALSE)=0,"-",VLOOKUP(Tbl_Donnees[[#This Row],[Référence]]&amp;"",Tbl_Catalogue[],11,FALSE)),"-")</f>
        <v>Fin de vie du produit (01/10/2018)</v>
      </c>
      <c r="P45" s="2" t="str">
        <f>IFERROR(IF(VLOOKUP(Tbl_Donnees[[#This Row],[Référence]]&amp;"",Tbl_Catalogue[],12,FALSE)=0,"-",VLOOKUP(Tbl_Donnees[[#This Row],[Référence]]&amp;"",Tbl_Catalogue[],12,FALSE)),"-")</f>
        <v>OBSOLETE</v>
      </c>
      <c r="Q45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https://sieportal.siemens.com/fr-fr/products-services/detail/6AV3617-1JC20-0AX2?tree=CatalogTree</v>
      </c>
      <c r="R45" s="5"/>
    </row>
    <row r="46" spans="1:18" x14ac:dyDescent="0.2">
      <c r="A46" s="2" t="s">
        <v>3</v>
      </c>
      <c r="B46" s="5" t="s">
        <v>620</v>
      </c>
      <c r="C46" s="5" t="s">
        <v>60</v>
      </c>
      <c r="D46" s="6" t="str">
        <f>IFERROR(IF(VLOOKUP(Tbl_Donnees[[#This Row],[Référence]]&amp;"",Tbl_Catalogue[],3,FALSE)=0,"-",VLOOKUP(Tbl_Donnees[[#This Row],[Référence]]&amp;"",Tbl_Catalogue[],3,FALSE)),"-")</f>
        <v>VAR. VITESSE SIMODRIVE 611</v>
      </c>
      <c r="E46" s="6">
        <v>1</v>
      </c>
      <c r="F46" s="6" t="str">
        <f>IFERROR(IF(VLOOKUP(Tbl_Donnees[[#This Row],[Référence]]&amp;"",Tbl_Catalogue[],2,FALSE)=0,"-",VLOOKUP(Tbl_Donnees[[#This Row],[Référence]]&amp;"",Tbl_Catalogue[],2,FALSE)),"-")</f>
        <v>SIEMENS</v>
      </c>
      <c r="G46" s="20" t="s">
        <v>16</v>
      </c>
      <c r="H46" s="6" t="str">
        <f>IFERROR(IF(VLOOKUP(Tbl_Donnees[[#This Row],[Référence]]&amp;"",Tbl_Catalogue[],4,FALSE)=0,"-",VLOOKUP(Tbl_Donnees[[#This Row],[Référence]]&amp;"",Tbl_Catalogue[],4,FALSE)),"-")</f>
        <v>Produit obsolète depuis le 30/09/2014</v>
      </c>
      <c r="I46" s="2" t="str">
        <f>IFERROR(IF(VLOOKUP(Tbl_Donnees[[#This Row],[Référence]]&amp;"",Tbl_Catalogue[],5,FALSE)=0,"-",VLOOKUP(Tbl_Donnees[[#This Row],[Référence]]&amp;"",Tbl_Catalogue[],5,FALSE)),"INCONNU")</f>
        <v>OBSOLETE</v>
      </c>
      <c r="J46" s="3" t="str">
        <f>IFERROR(IF(VLOOKUP(Tbl_Donnees[[#This Row],[Référence]]&amp;"",Tbl_Catalogue[],6,FALSE)=0,"-",VLOOKUP(Tbl_Donnees[[#This Row],[Référence]]&amp;"",Tbl_Catalogue[],6,FALSE)),"-")</f>
        <v>https://support.industry.siemens.com/cs/pd/44658?pdti=pi&amp;dl=fr&amp;lc=fr-FR</v>
      </c>
      <c r="K46" s="2" t="str">
        <f>IFERROR(IF(VLOOKUP(Tbl_Donnees[[#This Row],[Référence]]&amp;"",Tbl_Catalogue[],7,FALSE)=0,"-",VLOOKUP(Tbl_Donnees[[#This Row],[Référence]]&amp;"",Tbl_Catalogue[],7,FALSE)),"-")</f>
        <v>OUI</v>
      </c>
      <c r="L46" s="5" t="str">
        <f>IFERROR(IF(VLOOKUP(Tbl_Donnees[[#This Row],[Référence]]&amp;"",Tbl_Catalogue[],10,FALSE)=0,"-",VLOOKUP(Tbl_Donnees[[#This Row],[Référence]]&amp;"",Tbl_Catalogue[],10,FALSE)),"-")</f>
        <v>-</v>
      </c>
      <c r="M46" s="2" t="str">
        <f>IFERROR(IF(VLOOKUP(Tbl_Donnees[[#This Row],[Référence]]&amp;"",Tbl_Catalogue[],8,FALSE)=0,"-",VLOOKUP(Tbl_Donnees[[#This Row],[Référence]]&amp;"",Tbl_Catalogue[],8,FALSE)),"-")</f>
        <v>6SN1145-1BA02-0CA2</v>
      </c>
      <c r="N46" s="5" t="str">
        <f>IFERROR(IF(VLOOKUP(Tbl_Donnees[[#This Row],[Référence]]&amp;"",Tbl_Catalogue[],9,FALSE)=0,"-",VLOOKUP(Tbl_Donnees[[#This Row],[Référence]]&amp;"",Tbl_Catalogue[],9,FALSE)),"-")</f>
        <v>SIEMENS</v>
      </c>
      <c r="O46" s="5" t="str">
        <f>IFERROR(IF(VLOOKUP(Tbl_Donnees[[#This Row],[Référence]]&amp;"",Tbl_Catalogue[],11,FALSE)=0,"-",VLOOKUP(Tbl_Donnees[[#This Row],[Référence]]&amp;"",Tbl_Catalogue[],11,FALSE)),"-")</f>
        <v xml:space="preserve"> Pièce de rechange (01/04/2015)</v>
      </c>
      <c r="P46" s="2" t="str">
        <f>IFERROR(IF(VLOOKUP(Tbl_Donnees[[#This Row],[Référence]]&amp;"",Tbl_Catalogue[],12,FALSE)=0,"-",VLOOKUP(Tbl_Donnees[[#This Row],[Référence]]&amp;"",Tbl_Catalogue[],12,FALSE)),"-")</f>
        <v>RECHANGE</v>
      </c>
      <c r="Q46" s="13" t="str">
        <f>IFERROR(IF(VLOOKUP(Tbl_Donnees[[#This Row],[Référence]]&amp;"",Tbl_Catalogue[],13,FALSE)=0,"-",VLOOKUP(Tbl_Donnees[[#This Row],[Référence]]&amp;"",Tbl_Catalogue[],13,FALSE)),"-")</f>
        <v>https://sieportal.siemens.com/en-ww/products-services/detail/6SN1145-1BA02-0CA2?tree=CatalogTree</v>
      </c>
      <c r="R46" s="2"/>
    </row>
    <row r="47" spans="1:18" x14ac:dyDescent="0.2">
      <c r="A47" s="2" t="s">
        <v>3</v>
      </c>
      <c r="B47" s="5" t="s">
        <v>620</v>
      </c>
      <c r="C47" s="5" t="s">
        <v>60</v>
      </c>
      <c r="D47" s="6" t="str">
        <f>IFERROR(IF(VLOOKUP(Tbl_Donnees[[#This Row],[Référence]]&amp;"",Tbl_Catalogue[],3,FALSE)=0,"-",VLOOKUP(Tbl_Donnees[[#This Row],[Référence]]&amp;"",Tbl_Catalogue[],3,FALSE)),"-")</f>
        <v>VAR. BROCHE SIMODRIVE</v>
      </c>
      <c r="E47" s="6">
        <v>1</v>
      </c>
      <c r="F47" s="6" t="str">
        <f>IFERROR(IF(VLOOKUP(Tbl_Donnees[[#This Row],[Référence]]&amp;"",Tbl_Catalogue[],2,FALSE)=0,"-",VLOOKUP(Tbl_Donnees[[#This Row],[Référence]]&amp;"",Tbl_Catalogue[],2,FALSE)),"-")</f>
        <v>SIEMENS</v>
      </c>
      <c r="G47" s="20" t="s">
        <v>17</v>
      </c>
      <c r="H47" s="6" t="str">
        <f>IFERROR(IF(VLOOKUP(Tbl_Donnees[[#This Row],[Référence]]&amp;"",Tbl_Catalogue[],4,FALSE)=0,"-",VLOOKUP(Tbl_Donnees[[#This Row],[Référence]]&amp;"",Tbl_Catalogue[],4,FALSE)),"-")</f>
        <v>Produit obsolète depuis le 30/09/2014</v>
      </c>
      <c r="I47" s="2" t="str">
        <f>IFERROR(IF(VLOOKUP(Tbl_Donnees[[#This Row],[Référence]]&amp;"",Tbl_Catalogue[],5,FALSE)=0,"-",VLOOKUP(Tbl_Donnees[[#This Row],[Référence]]&amp;"",Tbl_Catalogue[],5,FALSE)),"INCONNU")</f>
        <v>OBSOLETE</v>
      </c>
      <c r="J47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https://sieportal.siemens.com/en-ww/products-services/detail/6SN1123-1AA00-0LA1?tree=CatalogTree</v>
      </c>
      <c r="K47" s="2" t="str">
        <f>IFERROR(IF(VLOOKUP(Tbl_Donnees[[#This Row],[Référence]]&amp;"",Tbl_Catalogue[],7,FALSE)=0,"-",VLOOKUP(Tbl_Donnees[[#This Row],[Référence]]&amp;"",Tbl_Catalogue[],7,FALSE)),"-")</f>
        <v>OUI</v>
      </c>
      <c r="L47" s="5" t="str">
        <f>IFERROR(IF(VLOOKUP(Tbl_Donnees[[#This Row],[Référence]]&amp;"",Tbl_Catalogue[],10,FALSE)=0,"-",VLOOKUP(Tbl_Donnees[[#This Row],[Référence]]&amp;"",Tbl_Catalogue[],10,FALSE)),"-")</f>
        <v>-</v>
      </c>
      <c r="M47" s="2" t="str">
        <f>IFERROR(IF(VLOOKUP(Tbl_Donnees[[#This Row],[Référence]]&amp;"",Tbl_Catalogue[],8,FALSE)=0,"-",VLOOKUP(Tbl_Donnees[[#This Row],[Référence]]&amp;"",Tbl_Catalogue[],8,FALSE)),"-")</f>
        <v>6SN1123-1AA00-0LA3</v>
      </c>
      <c r="N47" s="5" t="str">
        <f>IFERROR(IF(VLOOKUP(Tbl_Donnees[[#This Row],[Référence]]&amp;"",Tbl_Catalogue[],9,FALSE)=0,"-",VLOOKUP(Tbl_Donnees[[#This Row],[Référence]]&amp;"",Tbl_Catalogue[],9,FALSE)),"-")</f>
        <v>SIEMENS</v>
      </c>
      <c r="O47" s="5" t="str">
        <f>IFERROR(IF(VLOOKUP(Tbl_Donnees[[#This Row],[Référence]]&amp;"",Tbl_Catalogue[],11,FALSE)=0,"-",VLOOKUP(Tbl_Donnees[[#This Row],[Référence]]&amp;"",Tbl_Catalogue[],11,FALSE)),"-")</f>
        <v xml:space="preserve"> Pièce de rechange (01/04/2015)</v>
      </c>
      <c r="P47" s="2" t="str">
        <f>IFERROR(IF(VLOOKUP(Tbl_Donnees[[#This Row],[Référence]]&amp;"",Tbl_Catalogue[],12,FALSE)=0,"-",VLOOKUP(Tbl_Donnees[[#This Row],[Référence]]&amp;"",Tbl_Catalogue[],12,FALSE)),"-")</f>
        <v>RECHANGE</v>
      </c>
      <c r="Q47" s="13" t="str">
        <f>IFERROR(IF(VLOOKUP(Tbl_Donnees[[#This Row],[Référence]]&amp;"",Tbl_Catalogue[],13,FALSE)=0,"-",VLOOKUP(Tbl_Donnees[[#This Row],[Référence]]&amp;"",Tbl_Catalogue[],13,FALSE)),"-")</f>
        <v>https://sieportal.siemens.com/en-ww/products-services/detail/6SN1123-1AA00-0LA3?tree=CatalogTree</v>
      </c>
      <c r="R47" s="5"/>
    </row>
    <row r="48" spans="1:18" x14ac:dyDescent="0.2">
      <c r="A48" s="2" t="s">
        <v>3</v>
      </c>
      <c r="B48" s="5" t="s">
        <v>620</v>
      </c>
      <c r="C48" s="5" t="s">
        <v>60</v>
      </c>
      <c r="D48" s="6" t="str">
        <f>IFERROR(IF(VLOOKUP(Tbl_Donnees[[#This Row],[Référence]]&amp;"",Tbl_Catalogue[],3,FALSE)=0,"-",VLOOKUP(Tbl_Donnees[[#This Row],[Référence]]&amp;"",Tbl_Catalogue[],3,FALSE)),"-")</f>
        <v>VAR. AVANCE SIMODRIVE</v>
      </c>
      <c r="E48" s="6">
        <v>1</v>
      </c>
      <c r="F48" s="6" t="str">
        <f>IFERROR(IF(VLOOKUP(Tbl_Donnees[[#This Row],[Référence]]&amp;"",Tbl_Catalogue[],2,FALSE)=0,"-",VLOOKUP(Tbl_Donnees[[#This Row],[Référence]]&amp;"",Tbl_Catalogue[],2,FALSE)),"-")</f>
        <v>SIEMENS</v>
      </c>
      <c r="G48" s="20" t="s">
        <v>18</v>
      </c>
      <c r="H48" s="6" t="str">
        <f>IFERROR(IF(VLOOKUP(Tbl_Donnees[[#This Row],[Référence]]&amp;"",Tbl_Catalogue[],4,FALSE)=0,"-",VLOOKUP(Tbl_Donnees[[#This Row],[Référence]]&amp;"",Tbl_Catalogue[],4,FALSE)),"-")</f>
        <v>Produit obsolète depuis le 30/09/2015</v>
      </c>
      <c r="I48" s="2" t="str">
        <f>IFERROR(IF(VLOOKUP(Tbl_Donnees[[#This Row],[Référence]]&amp;"",Tbl_Catalogue[],5,FALSE)=0,"-",VLOOKUP(Tbl_Donnees[[#This Row],[Référence]]&amp;"",Tbl_Catalogue[],5,FALSE)),"INCONNU")</f>
        <v>OBSOLETE</v>
      </c>
      <c r="J48" s="3" t="str">
        <f>IFERROR(IF(VLOOKUP(Tbl_Donnees[[#This Row],[Référence]]&amp;"",Tbl_Catalogue[],6,FALSE)=0,"-",VLOOKUP(Tbl_Donnees[[#This Row],[Référence]]&amp;"",Tbl_Catalogue[],6,FALSE)),"-")</f>
        <v>https://support.industry.siemens.com/cs/pd/480058?pdti=pi&amp;dl=fr&amp;lc=fr-FR</v>
      </c>
      <c r="K48" s="2" t="str">
        <f>IFERROR(IF(VLOOKUP(Tbl_Donnees[[#This Row],[Référence]]&amp;"",Tbl_Catalogue[],7,FALSE)=0,"-",VLOOKUP(Tbl_Donnees[[#This Row],[Référence]]&amp;"",Tbl_Catalogue[],7,FALSE)),"-")</f>
        <v>OUI</v>
      </c>
      <c r="L48" s="5" t="str">
        <f>IFERROR(IF(VLOOKUP(Tbl_Donnees[[#This Row],[Référence]]&amp;"",Tbl_Catalogue[],10,FALSE)=0,"-",VLOOKUP(Tbl_Donnees[[#This Row],[Référence]]&amp;"",Tbl_Catalogue[],10,FALSE)),"-")</f>
        <v>-</v>
      </c>
      <c r="M48" s="2" t="str">
        <f>IFERROR(IF(VLOOKUP(Tbl_Donnees[[#This Row],[Référence]]&amp;"",Tbl_Catalogue[],8,FALSE)=0,"-",VLOOKUP(Tbl_Donnees[[#This Row],[Référence]]&amp;"",Tbl_Catalogue[],8,FALSE)),"-")</f>
        <v>service de mise à niveau ! référence de remplacement : 6SN1123-1AA00-0CA2</v>
      </c>
      <c r="N48" s="5" t="str">
        <f>IFERROR(IF(VLOOKUP(Tbl_Donnees[[#This Row],[Référence]]&amp;"",Tbl_Catalogue[],9,FALSE)=0,"-",VLOOKUP(Tbl_Donnees[[#This Row],[Référence]]&amp;"",Tbl_Catalogue[],9,FALSE)),"-")</f>
        <v>SIEMENS</v>
      </c>
      <c r="O48" s="5" t="str">
        <f>IFERROR(IF(VLOOKUP(Tbl_Donnees[[#This Row],[Référence]]&amp;"",Tbl_Catalogue[],11,FALSE)=0,"-",VLOOKUP(Tbl_Donnees[[#This Row],[Référence]]&amp;"",Tbl_Catalogue[],11,FALSE)),"-")</f>
        <v>Pièce de rechange (01/04/2015)</v>
      </c>
      <c r="P48" s="2" t="str">
        <f>IFERROR(IF(VLOOKUP(Tbl_Donnees[[#This Row],[Référence]]&amp;"",Tbl_Catalogue[],12,FALSE)=0,"-",VLOOKUP(Tbl_Donnees[[#This Row],[Référence]]&amp;"",Tbl_Catalogue[],12,FALSE)),"-")</f>
        <v>RECHANGE</v>
      </c>
      <c r="Q48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https://sieportal.siemens.com/fr-ww/products-services/detail/6SN1123-1AA00-0CA2?tree=CatalogTree</v>
      </c>
      <c r="R48" s="2"/>
    </row>
    <row r="49" spans="1:18" x14ac:dyDescent="0.2">
      <c r="A49" s="2" t="s">
        <v>3</v>
      </c>
      <c r="B49" s="5" t="s">
        <v>620</v>
      </c>
      <c r="C49" s="5" t="s">
        <v>60</v>
      </c>
      <c r="D49" s="6" t="str">
        <f>IFERROR(IF(VLOOKUP(Tbl_Donnees[[#This Row],[Référence]]&amp;"",Tbl_Catalogue[],3,FALSE)=0,"-",VLOOKUP(Tbl_Donnees[[#This Row],[Référence]]&amp;"",Tbl_Catalogue[],3,FALSE)),"-")</f>
        <v>RACK REGUL. SIMODRIVE 611</v>
      </c>
      <c r="E49" s="6">
        <v>1</v>
      </c>
      <c r="F49" s="6" t="str">
        <f>IFERROR(IF(VLOOKUP(Tbl_Donnees[[#This Row],[Référence]]&amp;"",Tbl_Catalogue[],2,FALSE)=0,"-",VLOOKUP(Tbl_Donnees[[#This Row],[Référence]]&amp;"",Tbl_Catalogue[],2,FALSE)),"-")</f>
        <v>SIEMENS</v>
      </c>
      <c r="G49" s="20" t="s">
        <v>19</v>
      </c>
      <c r="H49" s="6" t="str">
        <f>IFERROR(IF(VLOOKUP(Tbl_Donnees[[#This Row],[Référence]]&amp;"",Tbl_Catalogue[],4,FALSE)=0,"-",VLOOKUP(Tbl_Donnees[[#This Row],[Référence]]&amp;"",Tbl_Catalogue[],4,FALSE)),"-")</f>
        <v>Produit obsolète (12.11.2010)</v>
      </c>
      <c r="I49" s="2" t="str">
        <f>IFERROR(IF(VLOOKUP(Tbl_Donnees[[#This Row],[Référence]]&amp;"",Tbl_Catalogue[],5,FALSE)=0,"-",VLOOKUP(Tbl_Donnees[[#This Row],[Référence]]&amp;"",Tbl_Catalogue[],5,FALSE)),"INCONNU")</f>
        <v>OBSOLETE</v>
      </c>
      <c r="J49" s="3" t="str">
        <f>IFERROR(IF(VLOOKUP(Tbl_Donnees[[#This Row],[Référence]]&amp;"",Tbl_Catalogue[],6,FALSE)=0,"-",VLOOKUP(Tbl_Donnees[[#This Row],[Référence]]&amp;"",Tbl_Catalogue[],6,FALSE)),"-")</f>
        <v>https://sieportal.siemens.com/fr-ch/products-services/detail/6SN11180NH000AA2?tree=CatalogTree</v>
      </c>
      <c r="K49" s="2" t="str">
        <f>IFERROR(IF(VLOOKUP(Tbl_Donnees[[#This Row],[Référence]]&amp;"",Tbl_Catalogue[],7,FALSE)=0,"-",VLOOKUP(Tbl_Donnees[[#This Row],[Référence]]&amp;"",Tbl_Catalogue[],7,FALSE)),"-")</f>
        <v>OUI</v>
      </c>
      <c r="L49" s="5" t="str">
        <f>IFERROR(IF(VLOOKUP(Tbl_Donnees[[#This Row],[Référence]]&amp;"",Tbl_Catalogue[],10,FALSE)=0,"-",VLOOKUP(Tbl_Donnees[[#This Row],[Référence]]&amp;"",Tbl_Catalogue[],10,FALSE)),"-")</f>
        <v>-</v>
      </c>
      <c r="M49" s="2" t="str">
        <f>IFERROR(IF(VLOOKUP(Tbl_Donnees[[#This Row],[Référence]]&amp;"",Tbl_Catalogue[],8,FALSE)=0,"-",VLOOKUP(Tbl_Donnees[[#This Row],[Référence]]&amp;"",Tbl_Catalogue[],8,FALSE)),"-")</f>
        <v>6SN1118-0NH01-0AA1</v>
      </c>
      <c r="N49" s="5" t="str">
        <f>IFERROR(IF(VLOOKUP(Tbl_Donnees[[#This Row],[Référence]]&amp;"",Tbl_Catalogue[],9,FALSE)=0,"-",VLOOKUP(Tbl_Donnees[[#This Row],[Référence]]&amp;"",Tbl_Catalogue[],9,FALSE)),"-")</f>
        <v>SIEMENS</v>
      </c>
      <c r="O49" s="5" t="str">
        <f>IFERROR(IF(VLOOKUP(Tbl_Donnees[[#This Row],[Référence]]&amp;"",Tbl_Catalogue[],11,FALSE)=0,"-",VLOOKUP(Tbl_Donnees[[#This Row],[Référence]]&amp;"",Tbl_Catalogue[],11,FALSE)),"-")</f>
        <v>Pièce de rechange (01/04/2015)</v>
      </c>
      <c r="P49" s="2" t="str">
        <f>IFERROR(IF(VLOOKUP(Tbl_Donnees[[#This Row],[Référence]]&amp;"",Tbl_Catalogue[],12,FALSE)=0,"-",VLOOKUP(Tbl_Donnees[[#This Row],[Référence]]&amp;"",Tbl_Catalogue[],12,FALSE)),"-")</f>
        <v>RECHANGE</v>
      </c>
      <c r="Q49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https://sieportal.siemens.com/fr-fr/products-services/detail/6SN1118-0NH01-0AA1?tree=CatalogTree</v>
      </c>
      <c r="R49" s="5"/>
    </row>
    <row r="50" spans="1:18" x14ac:dyDescent="0.2">
      <c r="A50" s="2" t="s">
        <v>3</v>
      </c>
      <c r="B50" s="5" t="s">
        <v>620</v>
      </c>
      <c r="C50" s="5" t="s">
        <v>60</v>
      </c>
      <c r="D50" s="6" t="str">
        <f>IFERROR(IF(VLOOKUP(Tbl_Donnees[[#This Row],[Référence]]&amp;"",Tbl_Catalogue[],3,FALSE)=0,"-",VLOOKUP(Tbl_Donnees[[#This Row],[Référence]]&amp;"",Tbl_Catalogue[],3,FALSE)),"-")</f>
        <v>SERVOMOTEUR AVANCE 1FK6</v>
      </c>
      <c r="E50" s="6">
        <v>1</v>
      </c>
      <c r="F50" s="6" t="str">
        <f>IFERROR(IF(VLOOKUP(Tbl_Donnees[[#This Row],[Référence]]&amp;"",Tbl_Catalogue[],2,FALSE)=0,"-",VLOOKUP(Tbl_Donnees[[#This Row],[Référence]]&amp;"",Tbl_Catalogue[],2,FALSE)),"-")</f>
        <v>SIEMENS</v>
      </c>
      <c r="G50" s="20" t="s">
        <v>22</v>
      </c>
      <c r="H50" s="6" t="str">
        <f>IFERROR(IF(VLOOKUP(Tbl_Donnees[[#This Row],[Référence]]&amp;"",Tbl_Catalogue[],4,FALSE)=0,"-",VLOOKUP(Tbl_Donnees[[#This Row],[Référence]]&amp;"",Tbl_Catalogue[],4,FALSE)),"-")</f>
        <v>PRODUIT OBSOLÈTE DEPUIS LE 01/10/2016</v>
      </c>
      <c r="I50" s="2" t="str">
        <f>IFERROR(IF(VLOOKUP(Tbl_Donnees[[#This Row],[Référence]]&amp;"",Tbl_Catalogue[],5,FALSE)=0,"-",VLOOKUP(Tbl_Donnees[[#This Row],[Référence]]&amp;"",Tbl_Catalogue[],5,FALSE)),"INCONNU")</f>
        <v>OBSOLETE</v>
      </c>
      <c r="J5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https://sieportal.siemens.com/fr-fr/products-services/detail/1fk6101-8af71-1tg0?tree=CatalogTree</v>
      </c>
      <c r="K50" s="2" t="str">
        <f>IFERROR(IF(VLOOKUP(Tbl_Donnees[[#This Row],[Référence]]&amp;"",Tbl_Catalogue[],7,FALSE)=0,"-",VLOOKUP(Tbl_Donnees[[#This Row],[Référence]]&amp;"",Tbl_Catalogue[],7,FALSE)),"-")</f>
        <v>OUI</v>
      </c>
      <c r="L50" s="5" t="str">
        <f>IFERROR(IF(VLOOKUP(Tbl_Donnees[[#This Row],[Référence]]&amp;"",Tbl_Catalogue[],10,FALSE)=0,"-",VLOOKUP(Tbl_Donnees[[#This Row],[Référence]]&amp;"",Tbl_Catalogue[],10,FALSE)),"-")</f>
        <v>-</v>
      </c>
      <c r="M50" s="2" t="str">
        <f>IFERROR(IF(VLOOKUP(Tbl_Donnees[[#This Row],[Référence]]&amp;"",Tbl_Catalogue[],8,FALSE)=0,"-",VLOOKUP(Tbl_Donnees[[#This Row],[Référence]]&amp;"",Tbl_Catalogue[],8,FALSE)),"-")</f>
        <v>1FK7XX-2AXXX-XXXX</v>
      </c>
      <c r="N50" s="5" t="str">
        <f>IFERROR(IF(VLOOKUP(Tbl_Donnees[[#This Row],[Référence]]&amp;"",Tbl_Catalogue[],9,FALSE)=0,"-",VLOOKUP(Tbl_Donnees[[#This Row],[Référence]]&amp;"",Tbl_Catalogue[],9,FALSE)),"-")</f>
        <v>SIEMENS</v>
      </c>
      <c r="O50" s="5" t="str">
        <f>IFERROR(IF(VLOOKUP(Tbl_Donnees[[#This Row],[Référence]]&amp;"",Tbl_Catalogue[],11,FALSE)=0,"-",VLOOKUP(Tbl_Donnees[[#This Row],[Référence]]&amp;"",Tbl_Catalogue[],11,FALSE)),"-")</f>
        <v>-</v>
      </c>
      <c r="P50" s="2" t="str">
        <f>IFERROR(IF(VLOOKUP(Tbl_Donnees[[#This Row],[Référence]]&amp;"",Tbl_Catalogue[],12,FALSE)=0,"-",VLOOKUP(Tbl_Donnees[[#This Row],[Référence]]&amp;"",Tbl_Catalogue[],12,FALSE)),"-")</f>
        <v>-</v>
      </c>
      <c r="Q50" s="13" t="str">
        <f>IFERROR(IF(VLOOKUP(Tbl_Donnees[[#This Row],[Référence]]&amp;"",Tbl_Catalogue[],13,FALSE)=0,"-",VLOOKUP(Tbl_Donnees[[#This Row],[Référence]]&amp;"",Tbl_Catalogue[],13,FALSE)),"-")</f>
        <v>-</v>
      </c>
      <c r="R50" s="2"/>
    </row>
    <row r="51" spans="1:18" x14ac:dyDescent="0.2">
      <c r="A51" s="2" t="s">
        <v>3</v>
      </c>
      <c r="B51" s="5" t="s">
        <v>620</v>
      </c>
      <c r="C51" s="5" t="s">
        <v>60</v>
      </c>
      <c r="D51" s="6" t="str">
        <f>IFERROR(IF(VLOOKUP(Tbl_Donnees[[#This Row],[Référence]]&amp;"",Tbl_Catalogue[],3,FALSE)=0,"-",VLOOKUP(Tbl_Donnees[[#This Row],[Référence]]&amp;"",Tbl_Catalogue[],3,FALSE)),"-")</f>
        <v>MANIVELLE ELECTR. IHM</v>
      </c>
      <c r="E51" s="6">
        <v>1</v>
      </c>
      <c r="F51" s="6" t="str">
        <f>IFERROR(IF(VLOOKUP(Tbl_Donnees[[#This Row],[Référence]]&amp;"",Tbl_Catalogue[],2,FALSE)=0,"-",VLOOKUP(Tbl_Donnees[[#This Row],[Référence]]&amp;"",Tbl_Catalogue[],2,FALSE)),"-")</f>
        <v>SIEMENS</v>
      </c>
      <c r="G51" s="20" t="s">
        <v>26</v>
      </c>
      <c r="H51" s="6" t="str">
        <f>IFERROR(IF(VLOOKUP(Tbl_Donnees[[#This Row],[Référence]]&amp;"",Tbl_Catalogue[],4,FALSE)=0,"-",VLOOKUP(Tbl_Donnees[[#This Row],[Référence]]&amp;"",Tbl_Catalogue[],4,FALSE)),"-")</f>
        <v>Fin de vie du produit (22/08/2008)</v>
      </c>
      <c r="I51" s="2" t="str">
        <f>IFERROR(IF(VLOOKUP(Tbl_Donnees[[#This Row],[Référence]]&amp;"",Tbl_Catalogue[],5,FALSE)=0,"-",VLOOKUP(Tbl_Donnees[[#This Row],[Référence]]&amp;"",Tbl_Catalogue[],5,FALSE)),"INCONNU")</f>
        <v>OBSOLETE</v>
      </c>
      <c r="J51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https://sieportal.siemens.com/fr-ww/products-services/detail/6FC9320-5DB00?tree=CatalogTree</v>
      </c>
      <c r="K51" s="2" t="str">
        <f>IFERROR(IF(VLOOKUP(Tbl_Donnees[[#This Row],[Référence]]&amp;"",Tbl_Catalogue[],7,FALSE)=0,"-",VLOOKUP(Tbl_Donnees[[#This Row],[Référence]]&amp;"",Tbl_Catalogue[],7,FALSE)),"-")</f>
        <v>OUI</v>
      </c>
      <c r="L51" s="5" t="str">
        <f>IFERROR(IF(VLOOKUP(Tbl_Donnees[[#This Row],[Référence]]&amp;"",Tbl_Catalogue[],10,FALSE)=0,"-",VLOOKUP(Tbl_Donnees[[#This Row],[Référence]]&amp;"",Tbl_Catalogue[],10,FALSE)),"-")</f>
        <v>-</v>
      </c>
      <c r="M51" s="2" t="str">
        <f>IFERROR(IF(VLOOKUP(Tbl_Donnees[[#This Row],[Référence]]&amp;"",Tbl_Catalogue[],8,FALSE)=0,"-",VLOOKUP(Tbl_Donnees[[#This Row],[Référence]]&amp;"",Tbl_Catalogue[],8,FALSE)),"-")</f>
        <v>6FC9320-5DB01</v>
      </c>
      <c r="N51" s="5" t="str">
        <f>IFERROR(IF(VLOOKUP(Tbl_Donnees[[#This Row],[Référence]]&amp;"",Tbl_Catalogue[],9,FALSE)=0,"-",VLOOKUP(Tbl_Donnees[[#This Row],[Référence]]&amp;"",Tbl_Catalogue[],9,FALSE)),"-")</f>
        <v>SIEMENS</v>
      </c>
      <c r="O51" s="5" t="str">
        <f>IFERROR(IF(VLOOKUP(Tbl_Donnees[[#This Row],[Référence]]&amp;"",Tbl_Catalogue[],11,FALSE)=0,"-",VLOOKUP(Tbl_Donnees[[#This Row],[Référence]]&amp;"",Tbl_Catalogue[],11,FALSE)),"-")</f>
        <v>Produit actif</v>
      </c>
      <c r="P51" s="2" t="str">
        <f>IFERROR(IF(VLOOKUP(Tbl_Donnees[[#This Row],[Référence]]&amp;"",Tbl_Catalogue[],12,FALSE)=0,"-",VLOOKUP(Tbl_Donnees[[#This Row],[Référence]]&amp;"",Tbl_Catalogue[],12,FALSE)),"-")</f>
        <v>ACTIF</v>
      </c>
      <c r="Q51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https://sieportal.siemens.com/fr-ww/products-services/detail/6FC9320-5DB01?tree=CatalogTree</v>
      </c>
      <c r="R51" s="5"/>
    </row>
    <row r="52" spans="1:18" x14ac:dyDescent="0.2">
      <c r="A52" s="2" t="s">
        <v>3</v>
      </c>
      <c r="B52" s="5" t="s">
        <v>620</v>
      </c>
      <c r="C52" s="5" t="s">
        <v>60</v>
      </c>
      <c r="D52" s="6" t="str">
        <f>IFERROR(IF(VLOOKUP(Tbl_Donnees[[#This Row],[Référence]]&amp;"",Tbl_Catalogue[],3,FALSE)=0,"-",VLOOKUP(Tbl_Donnees[[#This Row],[Référence]]&amp;"",Tbl_Catalogue[],3,FALSE)),"-")</f>
        <v>BLOC SECURITE 3TK2804</v>
      </c>
      <c r="E52" s="6">
        <v>1</v>
      </c>
      <c r="F52" s="6" t="str">
        <f>IFERROR(IF(VLOOKUP(Tbl_Donnees[[#This Row],[Référence]]&amp;"",Tbl_Catalogue[],2,FALSE)=0,"-",VLOOKUP(Tbl_Donnees[[#This Row],[Référence]]&amp;"",Tbl_Catalogue[],2,FALSE)),"-")</f>
        <v>SIEMENS</v>
      </c>
      <c r="G52" s="20" t="s">
        <v>34</v>
      </c>
      <c r="H52" s="6" t="str">
        <f>IFERROR(IF(VLOOKUP(Tbl_Donnees[[#This Row],[Référence]]&amp;"",Tbl_Catalogue[],4,FALSE)=0,"-",VLOOKUP(Tbl_Donnees[[#This Row],[Référence]]&amp;"",Tbl_Catalogue[],4,FALSE)),"-")</f>
        <v>Fin de vie du produit (31/12/2011)</v>
      </c>
      <c r="I52" s="2" t="str">
        <f>IFERROR(IF(VLOOKUP(Tbl_Donnees[[#This Row],[Référence]]&amp;"",Tbl_Catalogue[],5,FALSE)=0,"-",VLOOKUP(Tbl_Donnees[[#This Row],[Référence]]&amp;"",Tbl_Catalogue[],5,FALSE)),"INCONNU")</f>
        <v>OBSOLETE</v>
      </c>
      <c r="J52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https://sieportal.siemens.com/fr-ww/products-services/detail/3TK2804-0BB4?tree=CatalogTree</v>
      </c>
      <c r="K52" s="2" t="str">
        <f>IFERROR(IF(VLOOKUP(Tbl_Donnees[[#This Row],[Référence]]&amp;"",Tbl_Catalogue[],7,FALSE)=0,"-",VLOOKUP(Tbl_Donnees[[#This Row],[Référence]]&amp;"",Tbl_Catalogue[],7,FALSE)),"-")</f>
        <v>NON</v>
      </c>
      <c r="L52" s="5" t="str">
        <f>IFERROR(IF(VLOOKUP(Tbl_Donnees[[#This Row],[Référence]]&amp;"",Tbl_Catalogue[],10,FALSE)=0,"-",VLOOKUP(Tbl_Donnees[[#This Row],[Référence]]&amp;"",Tbl_Catalogue[],10,FALSE)),"-")</f>
        <v>-</v>
      </c>
      <c r="M52" s="2" t="str">
        <f>IFERROR(IF(VLOOKUP(Tbl_Donnees[[#This Row],[Référence]]&amp;"",Tbl_Catalogue[],8,FALSE)=0,"-",VLOOKUP(Tbl_Donnees[[#This Row],[Référence]]&amp;"",Tbl_Catalogue[],8,FALSE)),"-")</f>
        <v>-</v>
      </c>
      <c r="N52" s="5" t="str">
        <f>IFERROR(IF(VLOOKUP(Tbl_Donnees[[#This Row],[Référence]]&amp;"",Tbl_Catalogue[],9,FALSE)=0,"-",VLOOKUP(Tbl_Donnees[[#This Row],[Référence]]&amp;"",Tbl_Catalogue[],9,FALSE)),"-")</f>
        <v>-</v>
      </c>
      <c r="O52" s="5" t="str">
        <f>IFERROR(IF(VLOOKUP(Tbl_Donnees[[#This Row],[Référence]]&amp;"",Tbl_Catalogue[],11,FALSE)=0,"-",VLOOKUP(Tbl_Donnees[[#This Row],[Référence]]&amp;"",Tbl_Catalogue[],11,FALSE)),"-")</f>
        <v>-</v>
      </c>
      <c r="P52" s="2" t="str">
        <f>IFERROR(IF(VLOOKUP(Tbl_Donnees[[#This Row],[Référence]]&amp;"",Tbl_Catalogue[],12,FALSE)=0,"-",VLOOKUP(Tbl_Donnees[[#This Row],[Référence]]&amp;"",Tbl_Catalogue[],12,FALSE)),"-")</f>
        <v>-</v>
      </c>
      <c r="Q52" s="13" t="str">
        <f>IFERROR(IF(VLOOKUP(Tbl_Donnees[[#This Row],[Référence]]&amp;"",Tbl_Catalogue[],13,FALSE)=0,"-",VLOOKUP(Tbl_Donnees[[#This Row],[Référence]]&amp;"",Tbl_Catalogue[],13,FALSE)),"-")</f>
        <v>-</v>
      </c>
      <c r="R52" s="2"/>
    </row>
    <row r="53" spans="1:18" x14ac:dyDescent="0.2">
      <c r="A53" s="2" t="s">
        <v>3</v>
      </c>
      <c r="B53" s="5" t="s">
        <v>620</v>
      </c>
      <c r="C53" s="5" t="s">
        <v>60</v>
      </c>
      <c r="D53" s="6" t="str">
        <f>IFERROR(IF(VLOOKUP(Tbl_Donnees[[#This Row],[Référence]]&amp;"",Tbl_Catalogue[],3,FALSE)=0,"-",VLOOKUP(Tbl_Donnees[[#This Row],[Référence]]&amp;"",Tbl_Catalogue[],3,FALSE)),"-")</f>
        <v>MOT. ASYNCHRONE TRIPHASE</v>
      </c>
      <c r="E53" s="6">
        <v>1</v>
      </c>
      <c r="F53" s="6" t="str">
        <f>IFERROR(IF(VLOOKUP(Tbl_Donnees[[#This Row],[Référence]]&amp;"",Tbl_Catalogue[],2,FALSE)=0,"-",VLOOKUP(Tbl_Donnees[[#This Row],[Référence]]&amp;"",Tbl_Catalogue[],2,FALSE)),"-")</f>
        <v>LEROY SOMER</v>
      </c>
      <c r="G53" s="20" t="s">
        <v>90</v>
      </c>
      <c r="H53" s="6" t="str">
        <f>IFERROR(IF(VLOOKUP(Tbl_Donnees[[#This Row],[Référence]]&amp;"",Tbl_Catalogue[],4,FALSE)=0,"-",VLOOKUP(Tbl_Donnees[[#This Row],[Référence]]&amp;"",Tbl_Catalogue[],4,FALSE)),"-")</f>
        <v>INCONNU</v>
      </c>
      <c r="I53" s="2" t="str">
        <f>IFERROR(IF(VLOOKUP(Tbl_Donnees[[#This Row],[Référence]]&amp;"",Tbl_Catalogue[],5,FALSE)=0,"-",VLOOKUP(Tbl_Donnees[[#This Row],[Référence]]&amp;"",Tbl_Catalogue[],5,FALSE)),"INCONNU")</f>
        <v>INCONNU</v>
      </c>
      <c r="J53" s="3" t="str">
        <f>IFERROR(IF(VLOOKUP(Tbl_Donnees[[#This Row],[Référence]]&amp;"",Tbl_Catalogue[],6,FALSE)=0,"-",VLOOKUP(Tbl_Donnees[[#This Row],[Référence]]&amp;"",Tbl_Catalogue[],6,FALSE)),"-")</f>
        <v>https://acim.nidec.com/fr-CH/motors/leroy-somer/Products/induction-motors/3-phase-motors-for-standard-applications/lses</v>
      </c>
      <c r="K53" s="2" t="str">
        <f>IFERROR(IF(VLOOKUP(Tbl_Donnees[[#This Row],[Référence]]&amp;"",Tbl_Catalogue[],7,FALSE)=0,"-",VLOOKUP(Tbl_Donnees[[#This Row],[Référence]]&amp;"",Tbl_Catalogue[],7,FALSE)),"-")</f>
        <v>INCONNU</v>
      </c>
      <c r="L53" s="5" t="str">
        <f>IFERROR(IF(VLOOKUP(Tbl_Donnees[[#This Row],[Référence]]&amp;"",Tbl_Catalogue[],10,FALSE)=0,"-",VLOOKUP(Tbl_Donnees[[#This Row],[Référence]]&amp;"",Tbl_Catalogue[],10,FALSE)),"-")</f>
        <v>-</v>
      </c>
      <c r="M53" s="2" t="str">
        <f>IFERROR(IF(VLOOKUP(Tbl_Donnees[[#This Row],[Référence]]&amp;"",Tbl_Catalogue[],8,FALSE)=0,"-",VLOOKUP(Tbl_Donnees[[#This Row],[Référence]]&amp;"",Tbl_Catalogue[],8,FALSE)),"-")</f>
        <v>-</v>
      </c>
      <c r="N53" s="5" t="str">
        <f>IFERROR(IF(VLOOKUP(Tbl_Donnees[[#This Row],[Référence]]&amp;"",Tbl_Catalogue[],9,FALSE)=0,"-",VLOOKUP(Tbl_Donnees[[#This Row],[Référence]]&amp;"",Tbl_Catalogue[],9,FALSE)),"-")</f>
        <v>-</v>
      </c>
      <c r="O53" s="5" t="str">
        <f>IFERROR(IF(VLOOKUP(Tbl_Donnees[[#This Row],[Référence]]&amp;"",Tbl_Catalogue[],11,FALSE)=0,"-",VLOOKUP(Tbl_Donnees[[#This Row],[Référence]]&amp;"",Tbl_Catalogue[],11,FALSE)),"-")</f>
        <v>-</v>
      </c>
      <c r="P53" s="2" t="str">
        <f>IFERROR(IF(VLOOKUP(Tbl_Donnees[[#This Row],[Référence]]&amp;"",Tbl_Catalogue[],12,FALSE)=0,"-",VLOOKUP(Tbl_Donnees[[#This Row],[Référence]]&amp;"",Tbl_Catalogue[],12,FALSE)),"-")</f>
        <v>-</v>
      </c>
      <c r="Q53" s="13" t="str">
        <f>IFERROR(IF(VLOOKUP(Tbl_Donnees[[#This Row],[Référence]]&amp;"",Tbl_Catalogue[],13,FALSE)=0,"-",VLOOKUP(Tbl_Donnees[[#This Row],[Référence]]&amp;"",Tbl_Catalogue[],13,FALSE)),"-")</f>
        <v>-</v>
      </c>
      <c r="R53" s="5"/>
    </row>
    <row r="54" spans="1:18" x14ac:dyDescent="0.2">
      <c r="A54" s="2" t="s">
        <v>3</v>
      </c>
      <c r="B54" s="5" t="s">
        <v>620</v>
      </c>
      <c r="C54" s="5" t="s">
        <v>60</v>
      </c>
      <c r="D54" s="6" t="str">
        <f>IFERROR(IF(VLOOKUP(Tbl_Donnees[[#This Row],[Référence]]&amp;"",Tbl_Catalogue[],3,FALSE)=0,"-",VLOOKUP(Tbl_Donnees[[#This Row],[Référence]]&amp;"",Tbl_Catalogue[],3,FALSE)),"-")</f>
        <v>TRANSFORMATEUR COMMANDE</v>
      </c>
      <c r="E54" s="6">
        <v>1</v>
      </c>
      <c r="F54" s="6" t="str">
        <f>IFERROR(IF(VLOOKUP(Tbl_Donnees[[#This Row],[Référence]]&amp;"",Tbl_Catalogue[],2,FALSE)=0,"-",VLOOKUP(Tbl_Donnees[[#This Row],[Référence]]&amp;"",Tbl_Catalogue[],2,FALSE)),"-")</f>
        <v>LEGRAND</v>
      </c>
      <c r="G54" s="20" t="s">
        <v>726</v>
      </c>
      <c r="H54" s="6" t="str">
        <f>IFERROR(IF(VLOOKUP(Tbl_Donnees[[#This Row],[Référence]]&amp;"",Tbl_Catalogue[],4,FALSE)=0,"-",VLOOKUP(Tbl_Donnees[[#This Row],[Référence]]&amp;"",Tbl_Catalogue[],4,FALSE)),"-")</f>
        <v>Obsolète</v>
      </c>
      <c r="I54" s="2" t="str">
        <f>IFERROR(IF(VLOOKUP(Tbl_Donnees[[#This Row],[Référence]]&amp;"",Tbl_Catalogue[],5,FALSE)=0,"-",VLOOKUP(Tbl_Donnees[[#This Row],[Référence]]&amp;"",Tbl_Catalogue[],5,FALSE)),"INCONNU")</f>
        <v>INCONNU</v>
      </c>
      <c r="J54" s="3" t="str">
        <f>IFERROR(IF(VLOOKUP(Tbl_Donnees[[#This Row],[Référence]]&amp;"",Tbl_Catalogue[],6,FALSE)=0,"-",VLOOKUP(Tbl_Donnees[[#This Row],[Référence]]&amp;"",Tbl_Catalogue[],6,FALSE)),"-")</f>
        <v>-</v>
      </c>
      <c r="K54" s="2" t="str">
        <f>IFERROR(IF(VLOOKUP(Tbl_Donnees[[#This Row],[Référence]]&amp;"",Tbl_Catalogue[],7,FALSE)=0,"-",VLOOKUP(Tbl_Donnees[[#This Row],[Référence]]&amp;"",Tbl_Catalogue[],7,FALSE)),"-")</f>
        <v>INCONNU</v>
      </c>
      <c r="L54" s="5" t="str">
        <f>IFERROR(IF(VLOOKUP(Tbl_Donnees[[#This Row],[Référence]]&amp;"",Tbl_Catalogue[],10,FALSE)=0,"-",VLOOKUP(Tbl_Donnees[[#This Row],[Référence]]&amp;"",Tbl_Catalogue[],10,FALSE)),"-")</f>
        <v>-</v>
      </c>
      <c r="M54" s="2" t="str">
        <f>IFERROR(IF(VLOOKUP(Tbl_Donnees[[#This Row],[Référence]]&amp;"",Tbl_Catalogue[],8,FALSE)=0,"-",VLOOKUP(Tbl_Donnees[[#This Row],[Référence]]&amp;"",Tbl_Catalogue[],8,FALSE)),"-")</f>
        <v>-</v>
      </c>
      <c r="N54" s="5" t="str">
        <f>IFERROR(IF(VLOOKUP(Tbl_Donnees[[#This Row],[Référence]]&amp;"",Tbl_Catalogue[],9,FALSE)=0,"-",VLOOKUP(Tbl_Donnees[[#This Row],[Référence]]&amp;"",Tbl_Catalogue[],9,FALSE)),"-")</f>
        <v>-</v>
      </c>
      <c r="O54" s="5" t="str">
        <f>IFERROR(IF(VLOOKUP(Tbl_Donnees[[#This Row],[Référence]]&amp;"",Tbl_Catalogue[],11,FALSE)=0,"-",VLOOKUP(Tbl_Donnees[[#This Row],[Référence]]&amp;"",Tbl_Catalogue[],11,FALSE)),"-")</f>
        <v>-</v>
      </c>
      <c r="P54" s="2" t="str">
        <f>IFERROR(IF(VLOOKUP(Tbl_Donnees[[#This Row],[Référence]]&amp;"",Tbl_Catalogue[],12,FALSE)=0,"-",VLOOKUP(Tbl_Donnees[[#This Row],[Référence]]&amp;"",Tbl_Catalogue[],12,FALSE)),"-")</f>
        <v>-</v>
      </c>
      <c r="Q54" s="13" t="str">
        <f>IFERROR(IF(VLOOKUP(Tbl_Donnees[[#This Row],[Référence]]&amp;"",Tbl_Catalogue[],13,FALSE)=0,"-",VLOOKUP(Tbl_Donnees[[#This Row],[Référence]]&amp;"",Tbl_Catalogue[],13,FALSE)),"-")</f>
        <v>-</v>
      </c>
      <c r="R54" s="5"/>
    </row>
    <row r="55" spans="1:18" x14ac:dyDescent="0.2">
      <c r="A55" s="2" t="s">
        <v>3</v>
      </c>
      <c r="B55" s="5" t="s">
        <v>620</v>
      </c>
      <c r="C55" s="5" t="s">
        <v>60</v>
      </c>
      <c r="D55" s="6" t="str">
        <f>IFERROR(IF(VLOOKUP(Tbl_Donnees[[#This Row],[Référence]]&amp;"",Tbl_Catalogue[],3,FALSE)=0,"-",VLOOKUP(Tbl_Donnees[[#This Row],[Référence]]&amp;"",Tbl_Catalogue[],3,FALSE)),"-")</f>
        <v>ALIM. STABILISEE 24VCC</v>
      </c>
      <c r="E55" s="6">
        <v>1</v>
      </c>
      <c r="F55" s="6" t="str">
        <f>IFERROR(IF(VLOOKUP(Tbl_Donnees[[#This Row],[Référence]]&amp;"",Tbl_Catalogue[],2,FALSE)=0,"-",VLOOKUP(Tbl_Donnees[[#This Row],[Référence]]&amp;"",Tbl_Catalogue[],2,FALSE)),"-")</f>
        <v>LEGRAND</v>
      </c>
      <c r="G55" s="20" t="s">
        <v>33</v>
      </c>
      <c r="H55" s="6" t="str">
        <f>IFERROR(IF(VLOOKUP(Tbl_Donnees[[#This Row],[Référence]]&amp;"",Tbl_Catalogue[],4,FALSE)=0,"-",VLOOKUP(Tbl_Donnees[[#This Row],[Référence]]&amp;"",Tbl_Catalogue[],4,FALSE)),"-")</f>
        <v>INCONNU</v>
      </c>
      <c r="I55" s="2" t="str">
        <f>IFERROR(IF(VLOOKUP(Tbl_Donnees[[#This Row],[Référence]]&amp;"",Tbl_Catalogue[],5,FALSE)=0,"-",VLOOKUP(Tbl_Donnees[[#This Row],[Référence]]&amp;"",Tbl_Catalogue[],5,FALSE)),"INCONNU")</f>
        <v>INCONNU</v>
      </c>
      <c r="J55" s="3" t="str">
        <f>IFERROR(IF(VLOOKUP(Tbl_Donnees[[#This Row],[Référence]]&amp;"",Tbl_Catalogue[],6,FALSE)=0,"-",VLOOKUP(Tbl_Donnees[[#This Row],[Référence]]&amp;"",Tbl_Catalogue[],6,FALSE)),"-")</f>
        <v>https://www.legrand.fr/pro/catalogue/alimentation-stabilisee-a-decoupage-monophasee-et-biphasee-entree-200v-a-500v-et-sortie-24v-240w</v>
      </c>
      <c r="K55" s="2" t="str">
        <f>IFERROR(IF(VLOOKUP(Tbl_Donnees[[#This Row],[Référence]]&amp;"",Tbl_Catalogue[],7,FALSE)=0,"-",VLOOKUP(Tbl_Donnees[[#This Row],[Référence]]&amp;"",Tbl_Catalogue[],7,FALSE)),"-")</f>
        <v>INCONNU</v>
      </c>
      <c r="L55" s="5" t="str">
        <f>IFERROR(IF(VLOOKUP(Tbl_Donnees[[#This Row],[Référence]]&amp;"",Tbl_Catalogue[],10,FALSE)=0,"-",VLOOKUP(Tbl_Donnees[[#This Row],[Référence]]&amp;"",Tbl_Catalogue[],10,FALSE)),"-")</f>
        <v>-</v>
      </c>
      <c r="M55" s="2" t="str">
        <f>IFERROR(IF(VLOOKUP(Tbl_Donnees[[#This Row],[Référence]]&amp;"",Tbl_Catalogue[],8,FALSE)=0,"-",VLOOKUP(Tbl_Donnees[[#This Row],[Référence]]&amp;"",Tbl_Catalogue[],8,FALSE)),"-")</f>
        <v>-</v>
      </c>
      <c r="N55" s="5" t="str">
        <f>IFERROR(IF(VLOOKUP(Tbl_Donnees[[#This Row],[Référence]]&amp;"",Tbl_Catalogue[],9,FALSE)=0,"-",VLOOKUP(Tbl_Donnees[[#This Row],[Référence]]&amp;"",Tbl_Catalogue[],9,FALSE)),"-")</f>
        <v>-</v>
      </c>
      <c r="O55" s="5" t="str">
        <f>IFERROR(IF(VLOOKUP(Tbl_Donnees[[#This Row],[Référence]]&amp;"",Tbl_Catalogue[],11,FALSE)=0,"-",VLOOKUP(Tbl_Donnees[[#This Row],[Référence]]&amp;"",Tbl_Catalogue[],11,FALSE)),"-")</f>
        <v>-</v>
      </c>
      <c r="P55" s="2" t="str">
        <f>IFERROR(IF(VLOOKUP(Tbl_Donnees[[#This Row],[Référence]]&amp;"",Tbl_Catalogue[],12,FALSE)=0,"-",VLOOKUP(Tbl_Donnees[[#This Row],[Référence]]&amp;"",Tbl_Catalogue[],12,FALSE)),"-")</f>
        <v>-</v>
      </c>
      <c r="Q55" s="13" t="str">
        <f>IFERROR(IF(VLOOKUP(Tbl_Donnees[[#This Row],[Référence]]&amp;"",Tbl_Catalogue[],13,FALSE)=0,"-",VLOOKUP(Tbl_Donnees[[#This Row],[Référence]]&amp;"",Tbl_Catalogue[],13,FALSE)),"-")</f>
        <v>-</v>
      </c>
      <c r="R55" s="2"/>
    </row>
    <row r="56" spans="1:18" x14ac:dyDescent="0.2">
      <c r="A56" s="2" t="s">
        <v>3</v>
      </c>
      <c r="B56" s="5" t="s">
        <v>620</v>
      </c>
      <c r="C56" s="5" t="s">
        <v>60</v>
      </c>
      <c r="D56" s="6" t="str">
        <f>IFERROR(IF(VLOOKUP(Tbl_Donnees[[#This Row],[Référence]]&amp;"",Tbl_Catalogue[],3,FALSE)=0,"-",VLOOKUP(Tbl_Donnees[[#This Row],[Référence]]&amp;"",Tbl_Catalogue[],3,FALSE)),"-")</f>
        <v>CODEUR ROTATIF MULTITOURS</v>
      </c>
      <c r="E56" s="6">
        <v>1</v>
      </c>
      <c r="F56" s="6" t="str">
        <f>IFERROR(IF(VLOOKUP(Tbl_Donnees[[#This Row],[Référence]]&amp;"",Tbl_Catalogue[],2,FALSE)=0,"-",VLOOKUP(Tbl_Donnees[[#This Row],[Référence]]&amp;"",Tbl_Catalogue[],2,FALSE)),"-")</f>
        <v>HEIDENHAIN</v>
      </c>
      <c r="G56" s="20" t="s">
        <v>88</v>
      </c>
      <c r="H56" s="6" t="str">
        <f>IFERROR(IF(VLOOKUP(Tbl_Donnees[[#This Row],[Référence]]&amp;"",Tbl_Catalogue[],4,FALSE)=0,"-",VLOOKUP(Tbl_Donnees[[#This Row],[Référence]]&amp;"",Tbl_Catalogue[],4,FALSE)),"-")</f>
        <v>INCONNU</v>
      </c>
      <c r="I56" s="2" t="str">
        <f>IFERROR(IF(VLOOKUP(Tbl_Donnees[[#This Row],[Référence]]&amp;"",Tbl_Catalogue[],5,FALSE)=0,"-",VLOOKUP(Tbl_Donnees[[#This Row],[Référence]]&amp;"",Tbl_Catalogue[],5,FALSE)),"INCONNU")</f>
        <v>INCONNU</v>
      </c>
      <c r="J56" s="3" t="str">
        <f>IFERROR(IF(VLOOKUP(Tbl_Donnees[[#This Row],[Référence]]&amp;"",Tbl_Catalogue[],6,FALSE)=0,"-",VLOOKUP(Tbl_Donnees[[#This Row],[Référence]]&amp;"",Tbl_Catalogue[],6,FALSE)),"-")</f>
        <v>https://www.heidenhain.com/service-support/infobase/1131752-74</v>
      </c>
      <c r="K56" s="2" t="str">
        <f>IFERROR(IF(VLOOKUP(Tbl_Donnees[[#This Row],[Référence]]&amp;"",Tbl_Catalogue[],7,FALSE)=0,"-",VLOOKUP(Tbl_Donnees[[#This Row],[Référence]]&amp;"",Tbl_Catalogue[],7,FALSE)),"-")</f>
        <v>OUI</v>
      </c>
      <c r="L56" s="5" t="str">
        <f>IFERROR(IF(VLOOKUP(Tbl_Donnees[[#This Row],[Référence]]&amp;"",Tbl_Catalogue[],10,FALSE)=0,"-",VLOOKUP(Tbl_Donnees[[#This Row],[Référence]]&amp;"",Tbl_Catalogue[],10,FALSE)),"-")</f>
        <v>-</v>
      </c>
      <c r="M56" s="2" t="str">
        <f>IFERROR(IF(VLOOKUP(Tbl_Donnees[[#This Row],[Référence]]&amp;"",Tbl_Catalogue[],8,FALSE)=0,"-",VLOOKUP(Tbl_Donnees[[#This Row],[Référence]]&amp;"",Tbl_Catalogue[],8,FALSE)),"-")</f>
        <v>ROQ 425 (ID : 1353117-74)</v>
      </c>
      <c r="N56" s="5" t="str">
        <f>IFERROR(IF(VLOOKUP(Tbl_Donnees[[#This Row],[Référence]]&amp;"",Tbl_Catalogue[],9,FALSE)=0,"-",VLOOKUP(Tbl_Donnees[[#This Row],[Référence]]&amp;"",Tbl_Catalogue[],9,FALSE)),"-")</f>
        <v>HEIDENHAIN</v>
      </c>
      <c r="O56" s="5" t="str">
        <f>IFERROR(IF(VLOOKUP(Tbl_Donnees[[#This Row],[Référence]]&amp;"",Tbl_Catalogue[],11,FALSE)=0,"-",VLOOKUP(Tbl_Donnees[[#This Row],[Référence]]&amp;"",Tbl_Catalogue[],11,FALSE)),"-")</f>
        <v>-</v>
      </c>
      <c r="P56" s="2" t="str">
        <f>IFERROR(IF(VLOOKUP(Tbl_Donnees[[#This Row],[Référence]]&amp;"",Tbl_Catalogue[],12,FALSE)=0,"-",VLOOKUP(Tbl_Donnees[[#This Row],[Référence]]&amp;"",Tbl_Catalogue[],12,FALSE)),"-")</f>
        <v>-</v>
      </c>
      <c r="Q56" s="13" t="str">
        <f>IFERROR(IF(VLOOKUP(Tbl_Donnees[[#This Row],[Référence]]&amp;"",Tbl_Catalogue[],13,FALSE)=0,"-",VLOOKUP(Tbl_Donnees[[#This Row],[Référence]]&amp;"",Tbl_Catalogue[],13,FALSE)),"-")</f>
        <v>https://www.heidenhain.com/service-support/infobase/1353117-74</v>
      </c>
      <c r="R56" s="2"/>
    </row>
    <row r="57" spans="1:18" x14ac:dyDescent="0.2">
      <c r="A57" s="2" t="s">
        <v>3</v>
      </c>
      <c r="B57" s="5" t="s">
        <v>620</v>
      </c>
      <c r="C57" s="5" t="s">
        <v>60</v>
      </c>
      <c r="D57" s="6" t="str">
        <f>IFERROR(IF(VLOOKUP(Tbl_Donnees[[#This Row],[Référence]]&amp;"",Tbl_Catalogue[],3,FALSE)=0,"-",VLOOKUP(Tbl_Donnees[[#This Row],[Référence]]&amp;"",Tbl_Catalogue[],3,FALSE)),"-")</f>
        <v>MANOCONTACT / PRESSOSTAT</v>
      </c>
      <c r="E57" s="6">
        <v>1</v>
      </c>
      <c r="F57" s="6" t="str">
        <f>IFERROR(IF(VLOOKUP(Tbl_Donnees[[#This Row],[Référence]]&amp;"",Tbl_Catalogue[],2,FALSE)=0,"-",VLOOKUP(Tbl_Donnees[[#This Row],[Référence]]&amp;"",Tbl_Catalogue[],2,FALSE)),"-")</f>
        <v>FESTO</v>
      </c>
      <c r="G57" s="20" t="s">
        <v>97</v>
      </c>
      <c r="H57" s="6" t="str">
        <f>IFERROR(IF(VLOOKUP(Tbl_Donnees[[#This Row],[Référence]]&amp;"",Tbl_Catalogue[],4,FALSE)=0,"-",VLOOKUP(Tbl_Donnees[[#This Row],[Référence]]&amp;"",Tbl_Catalogue[],4,FALSE)),"-")</f>
        <v>Produit actif</v>
      </c>
      <c r="I57" s="2" t="str">
        <f>IFERROR(IF(VLOOKUP(Tbl_Donnees[[#This Row],[Référence]]&amp;"",Tbl_Catalogue[],5,FALSE)=0,"-",VLOOKUP(Tbl_Donnees[[#This Row],[Référence]]&amp;"",Tbl_Catalogue[],5,FALSE)),"INCONNU")</f>
        <v>ACTIF</v>
      </c>
      <c r="J57" s="3" t="str">
        <f>IFERROR(IF(VLOOKUP(Tbl_Donnees[[#This Row],[Référence]]&amp;"",Tbl_Catalogue[],6,FALSE)=0,"-",VLOOKUP(Tbl_Donnees[[#This Row],[Référence]]&amp;"",Tbl_Catalogue[],6,FALSE)),"-")</f>
        <v>https://www.festo.com/fr/fr/a/10773/</v>
      </c>
      <c r="K57" s="2" t="str">
        <f>IFERROR(IF(VLOOKUP(Tbl_Donnees[[#This Row],[Référence]]&amp;"",Tbl_Catalogue[],7,FALSE)=0,"-",VLOOKUP(Tbl_Donnees[[#This Row],[Référence]]&amp;"",Tbl_Catalogue[],7,FALSE)),"-")</f>
        <v>-</v>
      </c>
      <c r="L57" s="5" t="str">
        <f>IFERROR(IF(VLOOKUP(Tbl_Donnees[[#This Row],[Référence]]&amp;"",Tbl_Catalogue[],10,FALSE)=0,"-",VLOOKUP(Tbl_Donnees[[#This Row],[Référence]]&amp;"",Tbl_Catalogue[],10,FALSE)),"-")</f>
        <v>-</v>
      </c>
      <c r="M57" s="2" t="str">
        <f>IFERROR(IF(VLOOKUP(Tbl_Donnees[[#This Row],[Référence]]&amp;"",Tbl_Catalogue[],8,FALSE)=0,"-",VLOOKUP(Tbl_Donnees[[#This Row],[Référence]]&amp;"",Tbl_Catalogue[],8,FALSE)),"-")</f>
        <v>-</v>
      </c>
      <c r="N57" s="5" t="str">
        <f>IFERROR(IF(VLOOKUP(Tbl_Donnees[[#This Row],[Référence]]&amp;"",Tbl_Catalogue[],9,FALSE)=0,"-",VLOOKUP(Tbl_Donnees[[#This Row],[Référence]]&amp;"",Tbl_Catalogue[],9,FALSE)),"-")</f>
        <v>-</v>
      </c>
      <c r="O57" s="5" t="str">
        <f>IFERROR(IF(VLOOKUP(Tbl_Donnees[[#This Row],[Référence]]&amp;"",Tbl_Catalogue[],11,FALSE)=0,"-",VLOOKUP(Tbl_Donnees[[#This Row],[Référence]]&amp;"",Tbl_Catalogue[],11,FALSE)),"-")</f>
        <v>-</v>
      </c>
      <c r="P57" s="2" t="str">
        <f>IFERROR(IF(VLOOKUP(Tbl_Donnees[[#This Row],[Référence]]&amp;"",Tbl_Catalogue[],12,FALSE)=0,"-",VLOOKUP(Tbl_Donnees[[#This Row],[Référence]]&amp;"",Tbl_Catalogue[],12,FALSE)),"-")</f>
        <v>-</v>
      </c>
      <c r="Q57" s="13" t="str">
        <f>IFERROR(IF(VLOOKUP(Tbl_Donnees[[#This Row],[Référence]]&amp;"",Tbl_Catalogue[],13,FALSE)=0,"-",VLOOKUP(Tbl_Donnees[[#This Row],[Référence]]&amp;"",Tbl_Catalogue[],13,FALSE)),"-")</f>
        <v>-</v>
      </c>
      <c r="R57" s="5"/>
    </row>
    <row r="58" spans="1:18" x14ac:dyDescent="0.2">
      <c r="A58" s="2" t="s">
        <v>3</v>
      </c>
      <c r="B58" s="5" t="s">
        <v>620</v>
      </c>
      <c r="C58" s="5" t="s">
        <v>60</v>
      </c>
      <c r="D58" s="6" t="str">
        <f>IFERROR(IF(VLOOKUP(Tbl_Donnees[[#This Row],[Référence]]&amp;"",Tbl_Catalogue[],3,FALSE)=0,"-",VLOOKUP(Tbl_Donnees[[#This Row],[Référence]]&amp;"",Tbl_Catalogue[],3,FALSE)),"-")</f>
        <v>MOTO-VENTILATEUR</v>
      </c>
      <c r="E58" s="6">
        <v>1</v>
      </c>
      <c r="F58" s="6" t="str">
        <f>IFERROR(IF(VLOOKUP(Tbl_Donnees[[#This Row],[Référence]]&amp;"",Tbl_Catalogue[],2,FALSE)=0,"-",VLOOKUP(Tbl_Donnees[[#This Row],[Référence]]&amp;"",Tbl_Catalogue[],2,FALSE)),"-")</f>
        <v>FADNIS (COSTECH)</v>
      </c>
      <c r="G58" s="20" t="s">
        <v>92</v>
      </c>
      <c r="H58" s="6" t="str">
        <f>IFERROR(IF(VLOOKUP(Tbl_Donnees[[#This Row],[Référence]]&amp;"",Tbl_Catalogue[],4,FALSE)=0,"-",VLOOKUP(Tbl_Donnees[[#This Row],[Référence]]&amp;"",Tbl_Catalogue[],4,FALSE)),"-")</f>
        <v>Obsolète</v>
      </c>
      <c r="I58" s="2" t="str">
        <f>IFERROR(IF(VLOOKUP(Tbl_Donnees[[#This Row],[Référence]]&amp;"",Tbl_Catalogue[],5,FALSE)=0,"-",VLOOKUP(Tbl_Donnees[[#This Row],[Référence]]&amp;"",Tbl_Catalogue[],5,FALSE)),"INCONNU")</f>
        <v>OBSOLETE</v>
      </c>
      <c r="J58" s="3" t="str">
        <f>IFERROR(IF(VLOOKUP(Tbl_Donnees[[#This Row],[Référence]]&amp;"",Tbl_Catalogue[],6,FALSE)=0,"-",VLOOKUP(Tbl_Donnees[[#This Row],[Référence]]&amp;"",Tbl_Catalogue[],6,FALSE)),"-")</f>
        <v>-</v>
      </c>
      <c r="K58" s="2" t="str">
        <f>IFERROR(IF(VLOOKUP(Tbl_Donnees[[#This Row],[Référence]]&amp;"",Tbl_Catalogue[],7,FALSE)=0,"-",VLOOKUP(Tbl_Donnees[[#This Row],[Référence]]&amp;"",Tbl_Catalogue[],7,FALSE)),"-")</f>
        <v>INCONNU</v>
      </c>
      <c r="L58" s="5" t="str">
        <f>IFERROR(IF(VLOOKUP(Tbl_Donnees[[#This Row],[Référence]]&amp;"",Tbl_Catalogue[],10,FALSE)=0,"-",VLOOKUP(Tbl_Donnees[[#This Row],[Référence]]&amp;"",Tbl_Catalogue[],10,FALSE)),"-")</f>
        <v>-</v>
      </c>
      <c r="M58" s="2" t="str">
        <f>IFERROR(IF(VLOOKUP(Tbl_Donnees[[#This Row],[Référence]]&amp;"",Tbl_Catalogue[],8,FALSE)=0,"-",VLOOKUP(Tbl_Donnees[[#This Row],[Référence]]&amp;"",Tbl_Catalogue[],8,FALSE)),"-")</f>
        <v>-</v>
      </c>
      <c r="N58" s="5" t="str">
        <f>IFERROR(IF(VLOOKUP(Tbl_Donnees[[#This Row],[Référence]]&amp;"",Tbl_Catalogue[],9,FALSE)=0,"-",VLOOKUP(Tbl_Donnees[[#This Row],[Référence]]&amp;"",Tbl_Catalogue[],9,FALSE)),"-")</f>
        <v>-</v>
      </c>
      <c r="O58" s="5" t="str">
        <f>IFERROR(IF(VLOOKUP(Tbl_Donnees[[#This Row],[Référence]]&amp;"",Tbl_Catalogue[],11,FALSE)=0,"-",VLOOKUP(Tbl_Donnees[[#This Row],[Référence]]&amp;"",Tbl_Catalogue[],11,FALSE)),"-")</f>
        <v>-</v>
      </c>
      <c r="P58" s="2" t="str">
        <f>IFERROR(IF(VLOOKUP(Tbl_Donnees[[#This Row],[Référence]]&amp;"",Tbl_Catalogue[],12,FALSE)=0,"-",VLOOKUP(Tbl_Donnees[[#This Row],[Référence]]&amp;"",Tbl_Catalogue[],12,FALSE)),"-")</f>
        <v>-</v>
      </c>
      <c r="Q58" s="13" t="str">
        <f>IFERROR(IF(VLOOKUP(Tbl_Donnees[[#This Row],[Référence]]&amp;"",Tbl_Catalogue[],13,FALSE)=0,"-",VLOOKUP(Tbl_Donnees[[#This Row],[Référence]]&amp;"",Tbl_Catalogue[],13,FALSE)),"-")</f>
        <v>-</v>
      </c>
      <c r="R58" s="2"/>
    </row>
    <row r="59" spans="1:18" x14ac:dyDescent="0.2">
      <c r="A59" s="2" t="s">
        <v>3</v>
      </c>
      <c r="B59" s="5" t="s">
        <v>620</v>
      </c>
      <c r="C59" s="5" t="s">
        <v>60</v>
      </c>
      <c r="D59" s="6" t="str">
        <f>IFERROR(IF(VLOOKUP(Tbl_Donnees[[#This Row],[Référence]]&amp;"",Tbl_Catalogue[],3,FALSE)=0,"-",VLOOKUP(Tbl_Donnees[[#This Row],[Référence]]&amp;"",Tbl_Catalogue[],3,FALSE)),"-")</f>
        <v>MOTO-VENTILATEUR</v>
      </c>
      <c r="E59" s="6">
        <v>1</v>
      </c>
      <c r="F59" s="6" t="str">
        <f>IFERROR(IF(VLOOKUP(Tbl_Donnees[[#This Row],[Référence]]&amp;"",Tbl_Catalogue[],2,FALSE)=0,"-",VLOOKUP(Tbl_Donnees[[#This Row],[Référence]]&amp;"",Tbl_Catalogue[],2,FALSE)),"-")</f>
        <v>EBM-PAPST</v>
      </c>
      <c r="G59" s="20" t="s">
        <v>24</v>
      </c>
      <c r="H59" s="6" t="str">
        <f>IFERROR(IF(VLOOKUP(Tbl_Donnees[[#This Row],[Référence]]&amp;"",Tbl_Catalogue[],4,FALSE)=0,"-",VLOOKUP(Tbl_Donnees[[#This Row],[Référence]]&amp;"",Tbl_Catalogue[],4,FALSE)),"-")</f>
        <v>INCONNU</v>
      </c>
      <c r="I59" s="2" t="str">
        <f>IFERROR(IF(VLOOKUP(Tbl_Donnees[[#This Row],[Référence]]&amp;"",Tbl_Catalogue[],5,FALSE)=0,"-",VLOOKUP(Tbl_Donnees[[#This Row],[Référence]]&amp;"",Tbl_Catalogue[],5,FALSE)),"INCONNU")</f>
        <v>INCONNU</v>
      </c>
      <c r="J59" s="3" t="str">
        <f>IFERROR(IF(VLOOKUP(Tbl_Donnees[[#This Row],[Référence]]&amp;"",Tbl_Catalogue[],6,FALSE)=0,"-",VLOOKUP(Tbl_Donnees[[#This Row],[Référence]]&amp;"",Tbl_Catalogue[],6,FALSE)),"-")</f>
        <v>-</v>
      </c>
      <c r="K59" s="2" t="str">
        <f>IFERROR(IF(VLOOKUP(Tbl_Donnees[[#This Row],[Référence]]&amp;"",Tbl_Catalogue[],7,FALSE)=0,"-",VLOOKUP(Tbl_Donnees[[#This Row],[Référence]]&amp;"",Tbl_Catalogue[],7,FALSE)),"-")</f>
        <v>INCONNU</v>
      </c>
      <c r="L59" s="5" t="str">
        <f>IFERROR(IF(VLOOKUP(Tbl_Donnees[[#This Row],[Référence]]&amp;"",Tbl_Catalogue[],10,FALSE)=0,"-",VLOOKUP(Tbl_Donnees[[#This Row],[Référence]]&amp;"",Tbl_Catalogue[],10,FALSE)),"-")</f>
        <v>-</v>
      </c>
      <c r="M59" s="2" t="str">
        <f>IFERROR(IF(VLOOKUP(Tbl_Donnees[[#This Row],[Référence]]&amp;"",Tbl_Catalogue[],8,FALSE)=0,"-",VLOOKUP(Tbl_Donnees[[#This Row],[Référence]]&amp;"",Tbl_Catalogue[],8,FALSE)),"-")</f>
        <v>-</v>
      </c>
      <c r="N59" s="5" t="str">
        <f>IFERROR(IF(VLOOKUP(Tbl_Donnees[[#This Row],[Référence]]&amp;"",Tbl_Catalogue[],9,FALSE)=0,"-",VLOOKUP(Tbl_Donnees[[#This Row],[Référence]]&amp;"",Tbl_Catalogue[],9,FALSE)),"-")</f>
        <v>-</v>
      </c>
      <c r="O59" s="5" t="str">
        <f>IFERROR(IF(VLOOKUP(Tbl_Donnees[[#This Row],[Référence]]&amp;"",Tbl_Catalogue[],11,FALSE)=0,"-",VLOOKUP(Tbl_Donnees[[#This Row],[Référence]]&amp;"",Tbl_Catalogue[],11,FALSE)),"-")</f>
        <v>-</v>
      </c>
      <c r="P59" s="2" t="str">
        <f>IFERROR(IF(VLOOKUP(Tbl_Donnees[[#This Row],[Référence]]&amp;"",Tbl_Catalogue[],12,FALSE)=0,"-",VLOOKUP(Tbl_Donnees[[#This Row],[Référence]]&amp;"",Tbl_Catalogue[],12,FALSE)),"-")</f>
        <v>-</v>
      </c>
      <c r="Q59" s="13" t="str">
        <f>IFERROR(IF(VLOOKUP(Tbl_Donnees[[#This Row],[Référence]]&amp;"",Tbl_Catalogue[],13,FALSE)=0,"-",VLOOKUP(Tbl_Donnees[[#This Row],[Référence]]&amp;"",Tbl_Catalogue[],13,FALSE)),"-")</f>
        <v>-</v>
      </c>
      <c r="R59" s="2"/>
    </row>
    <row r="60" spans="1:18" x14ac:dyDescent="0.2">
      <c r="A60" s="2" t="s">
        <v>3</v>
      </c>
      <c r="B60" s="5" t="s">
        <v>620</v>
      </c>
      <c r="C60" s="5" t="s">
        <v>60</v>
      </c>
      <c r="D60" s="6" t="str">
        <f>IFERROR(IF(VLOOKUP(Tbl_Donnees[[#This Row],[Référence]]&amp;"",Tbl_Catalogue[],3,FALSE)=0,"-",VLOOKUP(Tbl_Donnees[[#This Row],[Référence]]&amp;"",Tbl_Catalogue[],3,FALSE)),"-")</f>
        <v>MOTO-VENTILATEUR</v>
      </c>
      <c r="E60" s="6">
        <v>1</v>
      </c>
      <c r="F60" s="6" t="str">
        <f>IFERROR(IF(VLOOKUP(Tbl_Donnees[[#This Row],[Référence]]&amp;"",Tbl_Catalogue[],2,FALSE)=0,"-",VLOOKUP(Tbl_Donnees[[#This Row],[Référence]]&amp;"",Tbl_Catalogue[],2,FALSE)),"-")</f>
        <v>EBM-PAPST</v>
      </c>
      <c r="G60" s="20" t="s">
        <v>24</v>
      </c>
      <c r="H60" s="6" t="str">
        <f>IFERROR(IF(VLOOKUP(Tbl_Donnees[[#This Row],[Référence]]&amp;"",Tbl_Catalogue[],4,FALSE)=0,"-",VLOOKUP(Tbl_Donnees[[#This Row],[Référence]]&amp;"",Tbl_Catalogue[],4,FALSE)),"-")</f>
        <v>INCONNU</v>
      </c>
      <c r="I60" s="2" t="str">
        <f>IFERROR(IF(VLOOKUP(Tbl_Donnees[[#This Row],[Référence]]&amp;"",Tbl_Catalogue[],5,FALSE)=0,"-",VLOOKUP(Tbl_Donnees[[#This Row],[Référence]]&amp;"",Tbl_Catalogue[],5,FALSE)),"INCONNU")</f>
        <v>INCONNU</v>
      </c>
      <c r="J60" s="3" t="str">
        <f>IFERROR(IF(VLOOKUP(Tbl_Donnees[[#This Row],[Référence]]&amp;"",Tbl_Catalogue[],6,FALSE)=0,"-",VLOOKUP(Tbl_Donnees[[#This Row],[Référence]]&amp;"",Tbl_Catalogue[],6,FALSE)),"-")</f>
        <v>-</v>
      </c>
      <c r="K60" s="2" t="str">
        <f>IFERROR(IF(VLOOKUP(Tbl_Donnees[[#This Row],[Référence]]&amp;"",Tbl_Catalogue[],7,FALSE)=0,"-",VLOOKUP(Tbl_Donnees[[#This Row],[Référence]]&amp;"",Tbl_Catalogue[],7,FALSE)),"-")</f>
        <v>INCONNU</v>
      </c>
      <c r="L60" s="5" t="str">
        <f>IFERROR(IF(VLOOKUP(Tbl_Donnees[[#This Row],[Référence]]&amp;"",Tbl_Catalogue[],10,FALSE)=0,"-",VLOOKUP(Tbl_Donnees[[#This Row],[Référence]]&amp;"",Tbl_Catalogue[],10,FALSE)),"-")</f>
        <v>-</v>
      </c>
      <c r="M60" s="2" t="str">
        <f>IFERROR(IF(VLOOKUP(Tbl_Donnees[[#This Row],[Référence]]&amp;"",Tbl_Catalogue[],8,FALSE)=0,"-",VLOOKUP(Tbl_Donnees[[#This Row],[Référence]]&amp;"",Tbl_Catalogue[],8,FALSE)),"-")</f>
        <v>-</v>
      </c>
      <c r="N60" s="5" t="str">
        <f>IFERROR(IF(VLOOKUP(Tbl_Donnees[[#This Row],[Référence]]&amp;"",Tbl_Catalogue[],9,FALSE)=0,"-",VLOOKUP(Tbl_Donnees[[#This Row],[Référence]]&amp;"",Tbl_Catalogue[],9,FALSE)),"-")</f>
        <v>-</v>
      </c>
      <c r="O60" s="5" t="str">
        <f>IFERROR(IF(VLOOKUP(Tbl_Donnees[[#This Row],[Référence]]&amp;"",Tbl_Catalogue[],11,FALSE)=0,"-",VLOOKUP(Tbl_Donnees[[#This Row],[Référence]]&amp;"",Tbl_Catalogue[],11,FALSE)),"-")</f>
        <v>-</v>
      </c>
      <c r="P60" s="2" t="str">
        <f>IFERROR(IF(VLOOKUP(Tbl_Donnees[[#This Row],[Référence]]&amp;"",Tbl_Catalogue[],12,FALSE)=0,"-",VLOOKUP(Tbl_Donnees[[#This Row],[Référence]]&amp;"",Tbl_Catalogue[],12,FALSE)),"-")</f>
        <v>-</v>
      </c>
      <c r="Q60" s="13" t="str">
        <f>IFERROR(IF(VLOOKUP(Tbl_Donnees[[#This Row],[Référence]]&amp;"",Tbl_Catalogue[],13,FALSE)=0,"-",VLOOKUP(Tbl_Donnees[[#This Row],[Référence]]&amp;"",Tbl_Catalogue[],13,FALSE)),"-")</f>
        <v>-</v>
      </c>
      <c r="R60" s="5"/>
    </row>
    <row r="61" spans="1:18" x14ac:dyDescent="0.2">
      <c r="A61" s="2" t="s">
        <v>3</v>
      </c>
      <c r="B61" s="5" t="s">
        <v>620</v>
      </c>
      <c r="C61" s="5" t="s">
        <v>60</v>
      </c>
      <c r="D61" s="6" t="str">
        <f>IFERROR(IF(VLOOKUP(Tbl_Donnees[[#This Row],[Référence]]&amp;"",Tbl_Catalogue[],3,FALSE)=0,"-",VLOOKUP(Tbl_Donnees[[#This Row],[Référence]]&amp;"",Tbl_Catalogue[],3,FALSE)),"-")</f>
        <v>BOITIER CONTROLE ELEC.</v>
      </c>
      <c r="E61" s="6">
        <v>1</v>
      </c>
      <c r="F61" s="6" t="str">
        <f>IFERROR(IF(VLOOKUP(Tbl_Donnees[[#This Row],[Référence]]&amp;"",Tbl_Catalogue[],2,FALSE)=0,"-",VLOOKUP(Tbl_Donnees[[#This Row],[Référence]]&amp;"",Tbl_Catalogue[],2,FALSE)),"-")</f>
        <v>DETECTOR FRANCE</v>
      </c>
      <c r="G61" s="20" t="s">
        <v>14</v>
      </c>
      <c r="H61" s="6" t="str">
        <f>IFERROR(IF(VLOOKUP(Tbl_Donnees[[#This Row],[Référence]]&amp;"",Tbl_Catalogue[],4,FALSE)=0,"-",VLOOKUP(Tbl_Donnees[[#This Row],[Référence]]&amp;"",Tbl_Catalogue[],4,FALSE)),"-")</f>
        <v>INCONNU</v>
      </c>
      <c r="I61" s="2" t="str">
        <f>IFERROR(IF(VLOOKUP(Tbl_Donnees[[#This Row],[Référence]]&amp;"",Tbl_Catalogue[],5,FALSE)=0,"-",VLOOKUP(Tbl_Donnees[[#This Row],[Référence]]&amp;"",Tbl_Catalogue[],5,FALSE)),"INCONNU")</f>
        <v>INCONNU</v>
      </c>
      <c r="J61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61" s="2" t="str">
        <f>IFERROR(IF(VLOOKUP(Tbl_Donnees[[#This Row],[Référence]]&amp;"",Tbl_Catalogue[],7,FALSE)=0,"-",VLOOKUP(Tbl_Donnees[[#This Row],[Référence]]&amp;"",Tbl_Catalogue[],7,FALSE)),"-")</f>
        <v>OUI</v>
      </c>
      <c r="L61" s="5" t="str">
        <f>IFERROR(IF(VLOOKUP(Tbl_Donnees[[#This Row],[Référence]]&amp;"",Tbl_Catalogue[],10,FALSE)=0,"-",VLOOKUP(Tbl_Donnees[[#This Row],[Référence]]&amp;"",Tbl_Catalogue[],10,FALSE)),"-")</f>
        <v>-</v>
      </c>
      <c r="M61" s="2" t="str">
        <f>IFERROR(IF(VLOOKUP(Tbl_Donnees[[#This Row],[Référence]]&amp;"",Tbl_Catalogue[],8,FALSE)=0,"-",VLOOKUP(Tbl_Donnees[[#This Row],[Référence]]&amp;"",Tbl_Catalogue[],8,FALSE)),"-")</f>
        <v>ETC1+CDTPC2</v>
      </c>
      <c r="N61" s="5" t="str">
        <f>IFERROR(IF(VLOOKUP(Tbl_Donnees[[#This Row],[Référence]]&amp;"",Tbl_Catalogue[],9,FALSE)=0,"-",VLOOKUP(Tbl_Donnees[[#This Row],[Référence]]&amp;"",Tbl_Catalogue[],9,FALSE)),"-")</f>
        <v>DETECTOR FRANCE</v>
      </c>
      <c r="O61" s="5" t="str">
        <f>IFERROR(IF(VLOOKUP(Tbl_Donnees[[#This Row],[Référence]]&amp;"",Tbl_Catalogue[],11,FALSE)=0,"-",VLOOKUP(Tbl_Donnees[[#This Row],[Référence]]&amp;"",Tbl_Catalogue[],11,FALSE)),"-")</f>
        <v>-</v>
      </c>
      <c r="P61" s="2" t="str">
        <f>IFERROR(IF(VLOOKUP(Tbl_Donnees[[#This Row],[Référence]]&amp;"",Tbl_Catalogue[],12,FALSE)=0,"-",VLOOKUP(Tbl_Donnees[[#This Row],[Référence]]&amp;"",Tbl_Catalogue[],12,FALSE)),"-")</f>
        <v>INCONNU</v>
      </c>
      <c r="Q61" s="13" t="str">
        <f>IFERROR(IF(VLOOKUP(Tbl_Donnees[[#This Row],[Référence]]&amp;"",Tbl_Catalogue[],13,FALSE)=0,"-",VLOOKUP(Tbl_Donnees[[#This Row],[Référence]]&amp;"",Tbl_Catalogue[],13,FALSE)),"-")</f>
        <v>https://detector-france.com/produits/ecran-tactile-etc1-cdt-pc2/</v>
      </c>
      <c r="R61" s="2"/>
    </row>
    <row r="62" spans="1:18" x14ac:dyDescent="0.2">
      <c r="A62" s="2" t="s">
        <v>3</v>
      </c>
      <c r="B62" s="5" t="s">
        <v>620</v>
      </c>
      <c r="C62" s="5" t="s">
        <v>60</v>
      </c>
      <c r="D62" s="6" t="str">
        <f>IFERROR(IF(VLOOKUP(Tbl_Donnees[[#This Row],[Référence]]&amp;"",Tbl_Catalogue[],3,FALSE)=0,"-",VLOOKUP(Tbl_Donnees[[#This Row],[Référence]]&amp;"",Tbl_Catalogue[],3,FALSE)),"-")</f>
        <v>REGLE MESURE LONGUEUR</v>
      </c>
      <c r="E62" s="6">
        <v>1</v>
      </c>
      <c r="F62" s="6" t="str">
        <f>IFERROR(IF(VLOOKUP(Tbl_Donnees[[#This Row],[Référence]]&amp;"",Tbl_Catalogue[],2,FALSE)=0,"-",VLOOKUP(Tbl_Donnees[[#This Row],[Référence]]&amp;"",Tbl_Catalogue[],2,FALSE)),"-")</f>
        <v>DETECTOR FRANCE</v>
      </c>
      <c r="G62" s="20" t="s">
        <v>12</v>
      </c>
      <c r="H62" s="6" t="str">
        <f>IFERROR(IF(VLOOKUP(Tbl_Donnees[[#This Row],[Référence]]&amp;"",Tbl_Catalogue[],4,FALSE)=0,"-",VLOOKUP(Tbl_Donnees[[#This Row],[Référence]]&amp;"",Tbl_Catalogue[],4,FALSE)),"-")</f>
        <v>Produit actif</v>
      </c>
      <c r="I62" s="2" t="str">
        <f>IFERROR(IF(VLOOKUP(Tbl_Donnees[[#This Row],[Référence]]&amp;"",Tbl_Catalogue[],5,FALSE)=0,"-",VLOOKUP(Tbl_Donnees[[#This Row],[Référence]]&amp;"",Tbl_Catalogue[],5,FALSE)),"INCONNU")</f>
        <v>ACTIF</v>
      </c>
      <c r="J62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62" s="2" t="str">
        <f>IFERROR(IF(VLOOKUP(Tbl_Donnees[[#This Row],[Référence]]&amp;"",Tbl_Catalogue[],7,FALSE)=0,"-",VLOOKUP(Tbl_Donnees[[#This Row],[Référence]]&amp;"",Tbl_Catalogue[],7,FALSE)),"-")</f>
        <v>-</v>
      </c>
      <c r="L62" s="5" t="str">
        <f>IFERROR(IF(VLOOKUP(Tbl_Donnees[[#This Row],[Référence]]&amp;"",Tbl_Catalogue[],10,FALSE)=0,"-",VLOOKUP(Tbl_Donnees[[#This Row],[Référence]]&amp;"",Tbl_Catalogue[],10,FALSE)),"-")</f>
        <v>-</v>
      </c>
      <c r="M62" s="2" t="str">
        <f>IFERROR(IF(VLOOKUP(Tbl_Donnees[[#This Row],[Référence]]&amp;"",Tbl_Catalogue[],8,FALSE)=0,"-",VLOOKUP(Tbl_Donnees[[#This Row],[Référence]]&amp;"",Tbl_Catalogue[],8,FALSE)),"-")</f>
        <v>-</v>
      </c>
      <c r="N62" s="5" t="str">
        <f>IFERROR(IF(VLOOKUP(Tbl_Donnees[[#This Row],[Référence]]&amp;"",Tbl_Catalogue[],9,FALSE)=0,"-",VLOOKUP(Tbl_Donnees[[#This Row],[Référence]]&amp;"",Tbl_Catalogue[],9,FALSE)),"-")</f>
        <v>-</v>
      </c>
      <c r="O62" s="5" t="str">
        <f>IFERROR(IF(VLOOKUP(Tbl_Donnees[[#This Row],[Référence]]&amp;"",Tbl_Catalogue[],11,FALSE)=0,"-",VLOOKUP(Tbl_Donnees[[#This Row],[Référence]]&amp;"",Tbl_Catalogue[],11,FALSE)),"-")</f>
        <v>-</v>
      </c>
      <c r="P62" s="2" t="str">
        <f>IFERROR(IF(VLOOKUP(Tbl_Donnees[[#This Row],[Référence]]&amp;"",Tbl_Catalogue[],12,FALSE)=0,"-",VLOOKUP(Tbl_Donnees[[#This Row],[Référence]]&amp;"",Tbl_Catalogue[],12,FALSE)),"-")</f>
        <v>-</v>
      </c>
      <c r="Q62" s="13" t="str">
        <f>IFERROR(IF(VLOOKUP(Tbl_Donnees[[#This Row],[Référence]]&amp;"",Tbl_Catalogue[],13,FALSE)=0,"-",VLOOKUP(Tbl_Donnees[[#This Row],[Référence]]&amp;"",Tbl_Catalogue[],13,FALSE)),"-")</f>
        <v>-</v>
      </c>
      <c r="R62" s="5"/>
    </row>
    <row r="63" spans="1:18" x14ac:dyDescent="0.2">
      <c r="A63" s="2" t="s">
        <v>3</v>
      </c>
      <c r="B63" s="5" t="s">
        <v>620</v>
      </c>
      <c r="C63" s="5" t="s">
        <v>140</v>
      </c>
      <c r="D63" s="6" t="str">
        <f>IFERROR(IF(VLOOKUP(Tbl_Donnees[[#This Row],[Référence]]&amp;"",Tbl_Catalogue[],3,FALSE)=0,"-",VLOOKUP(Tbl_Donnees[[#This Row],[Référence]]&amp;"",Tbl_Catalogue[],3,FALSE)),"-")</f>
        <v>FILTRE DE LIGNE LF60</v>
      </c>
      <c r="E63" s="6">
        <v>1</v>
      </c>
      <c r="F63" s="6" t="str">
        <f>IFERROR(IF(VLOOKUP(Tbl_Donnees[[#This Row],[Référence]]&amp;"",Tbl_Catalogue[],2,FALSE)=0,"-",VLOOKUP(Tbl_Donnees[[#This Row],[Référence]]&amp;"",Tbl_Catalogue[],2,FALSE)),"-")</f>
        <v>HYDAC</v>
      </c>
      <c r="G63" s="20" t="s">
        <v>180</v>
      </c>
      <c r="H63" s="6" t="str">
        <f>IFERROR(IF(VLOOKUP(Tbl_Donnees[[#This Row],[Référence]]&amp;"",Tbl_Catalogue[],4,FALSE)=0,"-",VLOOKUP(Tbl_Donnees[[#This Row],[Référence]]&amp;"",Tbl_Catalogue[],4,FALSE)),"-")</f>
        <v>Obsolète</v>
      </c>
      <c r="I63" s="2" t="str">
        <f>IFERROR(IF(VLOOKUP(Tbl_Donnees[[#This Row],[Référence]]&amp;"",Tbl_Catalogue[],5,FALSE)=0,"-",VLOOKUP(Tbl_Donnees[[#This Row],[Référence]]&amp;"",Tbl_Catalogue[],5,FALSE)),"INCONNU")</f>
        <v>INCONNU</v>
      </c>
      <c r="J63" s="3" t="str">
        <f>IFERROR(IF(VLOOKUP(Tbl_Donnees[[#This Row],[Référence]]&amp;"",Tbl_Catalogue[],6,FALSE)=0,"-",VLOOKUP(Tbl_Donnees[[#This Row],[Référence]]&amp;"",Tbl_Catalogue[],6,FALSE)),"-")</f>
        <v>-</v>
      </c>
      <c r="K63" s="2" t="str">
        <f>IFERROR(IF(VLOOKUP(Tbl_Donnees[[#This Row],[Référence]]&amp;"",Tbl_Catalogue[],7,FALSE)=0,"-",VLOOKUP(Tbl_Donnees[[#This Row],[Référence]]&amp;"",Tbl_Catalogue[],7,FALSE)),"-")</f>
        <v>INCONNU</v>
      </c>
      <c r="L63" s="5" t="str">
        <f>IFERROR(IF(VLOOKUP(Tbl_Donnees[[#This Row],[Référence]]&amp;"",Tbl_Catalogue[],10,FALSE)=0,"-",VLOOKUP(Tbl_Donnees[[#This Row],[Référence]]&amp;"",Tbl_Catalogue[],10,FALSE)),"-")</f>
        <v>-</v>
      </c>
      <c r="M63" s="2" t="str">
        <f>IFERROR(IF(VLOOKUP(Tbl_Donnees[[#This Row],[Référence]]&amp;"",Tbl_Catalogue[],8,FALSE)=0,"-",VLOOKUP(Tbl_Donnees[[#This Row],[Référence]]&amp;"",Tbl_Catalogue[],8,FALSE)),"-")</f>
        <v>-</v>
      </c>
      <c r="N63" s="5" t="str">
        <f>IFERROR(IF(VLOOKUP(Tbl_Donnees[[#This Row],[Référence]]&amp;"",Tbl_Catalogue[],9,FALSE)=0,"-",VLOOKUP(Tbl_Donnees[[#This Row],[Référence]]&amp;"",Tbl_Catalogue[],9,FALSE)),"-")</f>
        <v>-</v>
      </c>
      <c r="O63" s="5" t="str">
        <f>IFERROR(IF(VLOOKUP(Tbl_Donnees[[#This Row],[Référence]]&amp;"",Tbl_Catalogue[],11,FALSE)=0,"-",VLOOKUP(Tbl_Donnees[[#This Row],[Référence]]&amp;"",Tbl_Catalogue[],11,FALSE)),"-")</f>
        <v>-</v>
      </c>
      <c r="P63" s="2" t="str">
        <f>IFERROR(IF(VLOOKUP(Tbl_Donnees[[#This Row],[Référence]]&amp;"",Tbl_Catalogue[],12,FALSE)=0,"-",VLOOKUP(Tbl_Donnees[[#This Row],[Référence]]&amp;"",Tbl_Catalogue[],12,FALSE)),"-")</f>
        <v>-</v>
      </c>
      <c r="Q63" s="13" t="str">
        <f>IFERROR(IF(VLOOKUP(Tbl_Donnees[[#This Row],[Référence]]&amp;"",Tbl_Catalogue[],13,FALSE)=0,"-",VLOOKUP(Tbl_Donnees[[#This Row],[Référence]]&amp;"",Tbl_Catalogue[],13,FALSE)),"-")</f>
        <v>-</v>
      </c>
      <c r="R63" s="2"/>
    </row>
    <row r="64" spans="1:18" x14ac:dyDescent="0.2">
      <c r="A64" s="2" t="s">
        <v>3</v>
      </c>
      <c r="B64" s="5" t="s">
        <v>620</v>
      </c>
      <c r="C64" s="5" t="s">
        <v>140</v>
      </c>
      <c r="D64" s="6" t="str">
        <f>IFERROR(IF(VLOOKUP(Tbl_Donnees[[#This Row],[Référence]]&amp;"",Tbl_Catalogue[],3,FALSE)=0,"-",VLOOKUP(Tbl_Donnees[[#This Row],[Référence]]&amp;"",Tbl_Catalogue[],3,FALSE)),"-")</f>
        <v>ACCUMULATEUR HYDRAULIQUE</v>
      </c>
      <c r="E64" s="6">
        <v>1</v>
      </c>
      <c r="F64" s="6" t="str">
        <f>IFERROR(IF(VLOOKUP(Tbl_Donnees[[#This Row],[Référence]]&amp;"",Tbl_Catalogue[],2,FALSE)=0,"-",VLOOKUP(Tbl_Donnees[[#This Row],[Référence]]&amp;"",Tbl_Catalogue[],2,FALSE)),"-")</f>
        <v>HYDAC</v>
      </c>
      <c r="G64" s="20" t="s">
        <v>39</v>
      </c>
      <c r="H64" s="6" t="str">
        <f>IFERROR(IF(VLOOKUP(Tbl_Donnees[[#This Row],[Référence]]&amp;"",Tbl_Catalogue[],4,FALSE)=0,"-",VLOOKUP(Tbl_Donnees[[#This Row],[Référence]]&amp;"",Tbl_Catalogue[],4,FALSE)),"-")</f>
        <v>Produit actif</v>
      </c>
      <c r="I64" s="2" t="str">
        <f>IFERROR(IF(VLOOKUP(Tbl_Donnees[[#This Row],[Référence]]&amp;"",Tbl_Catalogue[],5,FALSE)=0,"-",VLOOKUP(Tbl_Donnees[[#This Row],[Référence]]&amp;"",Tbl_Catalogue[],5,FALSE)),"INCONNU")</f>
        <v>ACTIF</v>
      </c>
      <c r="J64" s="3" t="str">
        <f>IFERROR(IF(VLOOKUP(Tbl_Donnees[[#This Row],[Référence]]&amp;"",Tbl_Catalogue[],6,FALSE)=0,"-",VLOOKUP(Tbl_Donnees[[#This Row],[Référence]]&amp;"",Tbl_Catalogue[],6,FALSE)),"-")</f>
        <v>https://www.hydac.com/shop/en/2121236</v>
      </c>
      <c r="K64" s="2" t="str">
        <f>IFERROR(IF(VLOOKUP(Tbl_Donnees[[#This Row],[Référence]]&amp;"",Tbl_Catalogue[],7,FALSE)=0,"-",VLOOKUP(Tbl_Donnees[[#This Row],[Référence]]&amp;"",Tbl_Catalogue[],7,FALSE)),"-")</f>
        <v>-</v>
      </c>
      <c r="L64" s="5" t="str">
        <f>IFERROR(IF(VLOOKUP(Tbl_Donnees[[#This Row],[Référence]]&amp;"",Tbl_Catalogue[],10,FALSE)=0,"-",VLOOKUP(Tbl_Donnees[[#This Row],[Référence]]&amp;"",Tbl_Catalogue[],10,FALSE)),"-")</f>
        <v>-</v>
      </c>
      <c r="M64" s="2" t="str">
        <f>IFERROR(IF(VLOOKUP(Tbl_Donnees[[#This Row],[Référence]]&amp;"",Tbl_Catalogue[],8,FALSE)=0,"-",VLOOKUP(Tbl_Donnees[[#This Row],[Référence]]&amp;"",Tbl_Catalogue[],8,FALSE)),"-")</f>
        <v>-</v>
      </c>
      <c r="N64" s="5" t="str">
        <f>IFERROR(IF(VLOOKUP(Tbl_Donnees[[#This Row],[Référence]]&amp;"",Tbl_Catalogue[],9,FALSE)=0,"-",VLOOKUP(Tbl_Donnees[[#This Row],[Référence]]&amp;"",Tbl_Catalogue[],9,FALSE)),"-")</f>
        <v>-</v>
      </c>
      <c r="O64" s="5" t="str">
        <f>IFERROR(IF(VLOOKUP(Tbl_Donnees[[#This Row],[Référence]]&amp;"",Tbl_Catalogue[],11,FALSE)=0,"-",VLOOKUP(Tbl_Donnees[[#This Row],[Référence]]&amp;"",Tbl_Catalogue[],11,FALSE)),"-")</f>
        <v>-</v>
      </c>
      <c r="P64" s="2" t="str">
        <f>IFERROR(IF(VLOOKUP(Tbl_Donnees[[#This Row],[Référence]]&amp;"",Tbl_Catalogue[],12,FALSE)=0,"-",VLOOKUP(Tbl_Donnees[[#This Row],[Référence]]&amp;"",Tbl_Catalogue[],12,FALSE)),"-")</f>
        <v>-</v>
      </c>
      <c r="Q64" s="13" t="str">
        <f>IFERROR(IF(VLOOKUP(Tbl_Donnees[[#This Row],[Référence]]&amp;"",Tbl_Catalogue[],13,FALSE)=0,"-",VLOOKUP(Tbl_Donnees[[#This Row],[Référence]]&amp;"",Tbl_Catalogue[],13,FALSE)),"-")</f>
        <v>-</v>
      </c>
      <c r="R64" s="5"/>
    </row>
    <row r="65" spans="1:18" x14ac:dyDescent="0.2">
      <c r="A65" s="2" t="s">
        <v>3</v>
      </c>
      <c r="B65" s="5" t="s">
        <v>620</v>
      </c>
      <c r="C65" s="5" t="s">
        <v>140</v>
      </c>
      <c r="D65" s="6" t="str">
        <f>IFERROR(IF(VLOOKUP(Tbl_Donnees[[#This Row],[Référence]]&amp;"",Tbl_Catalogue[],3,FALSE)=0,"-",VLOOKUP(Tbl_Donnees[[#This Row],[Référence]]&amp;"",Tbl_Catalogue[],3,FALSE)),"-")</f>
        <v>ACCUMULATEUR HYDRAULIQUE</v>
      </c>
      <c r="E65" s="6">
        <v>1</v>
      </c>
      <c r="F65" s="6" t="str">
        <f>IFERROR(IF(VLOOKUP(Tbl_Donnees[[#This Row],[Référence]]&amp;"",Tbl_Catalogue[],2,FALSE)=0,"-",VLOOKUP(Tbl_Donnees[[#This Row],[Référence]]&amp;"",Tbl_Catalogue[],2,FALSE)),"-")</f>
        <v>HYDAC</v>
      </c>
      <c r="G65" s="20" t="s">
        <v>126</v>
      </c>
      <c r="H65" s="6" t="str">
        <f>IFERROR(IF(VLOOKUP(Tbl_Donnees[[#This Row],[Référence]]&amp;"",Tbl_Catalogue[],4,FALSE)=0,"-",VLOOKUP(Tbl_Donnees[[#This Row],[Référence]]&amp;"",Tbl_Catalogue[],4,FALSE)),"-")</f>
        <v>Produit actif</v>
      </c>
      <c r="I65" s="2" t="str">
        <f>IFERROR(IF(VLOOKUP(Tbl_Donnees[[#This Row],[Référence]]&amp;"",Tbl_Catalogue[],5,FALSE)=0,"-",VLOOKUP(Tbl_Donnees[[#This Row],[Référence]]&amp;"",Tbl_Catalogue[],5,FALSE)),"INCONNU")</f>
        <v>ACTIF</v>
      </c>
      <c r="J65" s="3" t="str">
        <f>IFERROR(IF(VLOOKUP(Tbl_Donnees[[#This Row],[Référence]]&amp;"",Tbl_Catalogue[],6,FALSE)=0,"-",VLOOKUP(Tbl_Donnees[[#This Row],[Référence]]&amp;"",Tbl_Catalogue[],6,FALSE)),"-")</f>
        <v>https://www.hydac.com/shop/fr-fr/3047166</v>
      </c>
      <c r="K65" s="2" t="str">
        <f>IFERROR(IF(VLOOKUP(Tbl_Donnees[[#This Row],[Référence]]&amp;"",Tbl_Catalogue[],7,FALSE)=0,"-",VLOOKUP(Tbl_Donnees[[#This Row],[Référence]]&amp;"",Tbl_Catalogue[],7,FALSE)),"-")</f>
        <v>-</v>
      </c>
      <c r="L65" s="5" t="str">
        <f>IFERROR(IF(VLOOKUP(Tbl_Donnees[[#This Row],[Référence]]&amp;"",Tbl_Catalogue[],10,FALSE)=0,"-",VLOOKUP(Tbl_Donnees[[#This Row],[Référence]]&amp;"",Tbl_Catalogue[],10,FALSE)),"-")</f>
        <v>-</v>
      </c>
      <c r="M65" s="2" t="str">
        <f>IFERROR(IF(VLOOKUP(Tbl_Donnees[[#This Row],[Référence]]&amp;"",Tbl_Catalogue[],8,FALSE)=0,"-",VLOOKUP(Tbl_Donnees[[#This Row],[Référence]]&amp;"",Tbl_Catalogue[],8,FALSE)),"-")</f>
        <v>-</v>
      </c>
      <c r="N65" s="5" t="str">
        <f>IFERROR(IF(VLOOKUP(Tbl_Donnees[[#This Row],[Référence]]&amp;"",Tbl_Catalogue[],9,FALSE)=0,"-",VLOOKUP(Tbl_Donnees[[#This Row],[Référence]]&amp;"",Tbl_Catalogue[],9,FALSE)),"-")</f>
        <v>-</v>
      </c>
      <c r="O65" s="5" t="str">
        <f>IFERROR(IF(VLOOKUP(Tbl_Donnees[[#This Row],[Référence]]&amp;"",Tbl_Catalogue[],11,FALSE)=0,"-",VLOOKUP(Tbl_Donnees[[#This Row],[Référence]]&amp;"",Tbl_Catalogue[],11,FALSE)),"-")</f>
        <v>-</v>
      </c>
      <c r="P65" s="2" t="str">
        <f>IFERROR(IF(VLOOKUP(Tbl_Donnees[[#This Row],[Référence]]&amp;"",Tbl_Catalogue[],12,FALSE)=0,"-",VLOOKUP(Tbl_Donnees[[#This Row],[Référence]]&amp;"",Tbl_Catalogue[],12,FALSE)),"-")</f>
        <v>-</v>
      </c>
      <c r="Q65" s="13" t="str">
        <f>IFERROR(IF(VLOOKUP(Tbl_Donnees[[#This Row],[Référence]]&amp;"",Tbl_Catalogue[],13,FALSE)=0,"-",VLOOKUP(Tbl_Donnees[[#This Row],[Référence]]&amp;"",Tbl_Catalogue[],13,FALSE)),"-")</f>
        <v>-</v>
      </c>
      <c r="R65" s="2"/>
    </row>
    <row r="66" spans="1:18" x14ac:dyDescent="0.2">
      <c r="A66" s="2" t="s">
        <v>3</v>
      </c>
      <c r="B66" s="5" t="s">
        <v>620</v>
      </c>
      <c r="C66" s="5" t="s">
        <v>140</v>
      </c>
      <c r="D66" s="6" t="str">
        <f>IFERROR(IF(VLOOKUP(Tbl_Donnees[[#This Row],[Référence]]&amp;"",Tbl_Catalogue[],3,FALSE)=0,"-",VLOOKUP(Tbl_Donnees[[#This Row],[Référence]]&amp;"",Tbl_Catalogue[],3,FALSE)),"-")</f>
        <v>DISTRIB. MISE EN CIRCUIT</v>
      </c>
      <c r="E66" s="6">
        <v>1</v>
      </c>
      <c r="F66" s="6" t="str">
        <f>IFERROR(IF(VLOOKUP(Tbl_Donnees[[#This Row],[Référence]]&amp;"",Tbl_Catalogue[],2,FALSE)=0,"-",VLOOKUP(Tbl_Donnees[[#This Row],[Référence]]&amp;"",Tbl_Catalogue[],2,FALSE)),"-")</f>
        <v>FESTO</v>
      </c>
      <c r="G66" s="20" t="s">
        <v>130</v>
      </c>
      <c r="H66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66" s="2" t="str">
        <f>IFERROR(IF(VLOOKUP(Tbl_Donnees[[#This Row],[Référence]]&amp;"",Tbl_Catalogue[],5,FALSE)=0,"-",VLOOKUP(Tbl_Donnees[[#This Row],[Référence]]&amp;"",Tbl_Catalogue[],5,FALSE)),"INCONNU")</f>
        <v>PHASE OUT</v>
      </c>
      <c r="J66" s="3" t="str">
        <f>IFERROR(IF(VLOOKUP(Tbl_Donnees[[#This Row],[Référence]]&amp;"",Tbl_Catalogue[],6,FALSE)=0,"-",VLOOKUP(Tbl_Donnees[[#This Row],[Référence]]&amp;"",Tbl_Catalogue[],6,FALSE)),"-")</f>
        <v>https://www.festo.com/fr/fr/a/170691/?q=170691%7E%3AfestoSortOrderScored</v>
      </c>
      <c r="K66" s="2" t="str">
        <f>IFERROR(IF(VLOOKUP(Tbl_Donnees[[#This Row],[Référence]]&amp;"",Tbl_Catalogue[],7,FALSE)=0,"-",VLOOKUP(Tbl_Donnees[[#This Row],[Référence]]&amp;"",Tbl_Catalogue[],7,FALSE)),"-")</f>
        <v>OUI</v>
      </c>
      <c r="L66" s="5" t="str">
        <f>IFERROR(IF(VLOOKUP(Tbl_Donnees[[#This Row],[Référence]]&amp;"",Tbl_Catalogue[],10,FALSE)=0,"-",VLOOKUP(Tbl_Donnees[[#This Row],[Référence]]&amp;"",Tbl_Catalogue[],10,FALSE)),"-")</f>
        <v>-</v>
      </c>
      <c r="M66" s="2" t="str">
        <f>IFERROR(IF(VLOOKUP(Tbl_Donnees[[#This Row],[Référence]]&amp;"",Tbl_Catalogue[],8,FALSE)=0,"-",VLOOKUP(Tbl_Donnees[[#This Row],[Référence]]&amp;"",Tbl_Catalogue[],8,FALSE)),"-")</f>
        <v>MS6-DL-1/2 (Ref : 529817)</v>
      </c>
      <c r="N66" s="5" t="str">
        <f>IFERROR(IF(VLOOKUP(Tbl_Donnees[[#This Row],[Référence]]&amp;"",Tbl_Catalogue[],9,FALSE)=0,"-",VLOOKUP(Tbl_Donnees[[#This Row],[Référence]]&amp;"",Tbl_Catalogue[],9,FALSE)),"-")</f>
        <v>FESTO</v>
      </c>
      <c r="O66" s="5" t="str">
        <f>IFERROR(IF(VLOOKUP(Tbl_Donnees[[#This Row],[Référence]]&amp;"",Tbl_Catalogue[],11,FALSE)=0,"-",VLOOKUP(Tbl_Donnees[[#This Row],[Référence]]&amp;"",Tbl_Catalogue[],11,FALSE)),"-")</f>
        <v>-</v>
      </c>
      <c r="P66" s="2" t="str">
        <f>IFERROR(IF(VLOOKUP(Tbl_Donnees[[#This Row],[Référence]]&amp;"",Tbl_Catalogue[],12,FALSE)=0,"-",VLOOKUP(Tbl_Donnees[[#This Row],[Référence]]&amp;"",Tbl_Catalogue[],12,FALSE)),"-")</f>
        <v>ACTIF</v>
      </c>
      <c r="Q66" s="13" t="str">
        <f>IFERROR(IF(VLOOKUP(Tbl_Donnees[[#This Row],[Référence]]&amp;"",Tbl_Catalogue[],13,FALSE)=0,"-",VLOOKUP(Tbl_Donnees[[#This Row],[Référence]]&amp;"",Tbl_Catalogue[],13,FALSE)),"-")</f>
        <v>https://www.festo.com/fr/fr/a/529817/</v>
      </c>
      <c r="R66" s="5"/>
    </row>
    <row r="67" spans="1:18" x14ac:dyDescent="0.2">
      <c r="A67" s="2" t="s">
        <v>3</v>
      </c>
      <c r="B67" s="5" t="s">
        <v>620</v>
      </c>
      <c r="C67" s="5" t="s">
        <v>140</v>
      </c>
      <c r="D67" s="6" t="str">
        <f>IFERROR(IF(VLOOKUP(Tbl_Donnees[[#This Row],[Référence]]&amp;"",Tbl_Catalogue[],3,FALSE)=0,"-",VLOOKUP(Tbl_Donnees[[#This Row],[Référence]]&amp;"",Tbl_Catalogue[],3,FALSE)),"-")</f>
        <v>DISTRIB. MISE CIRCUIT 24V</v>
      </c>
      <c r="E67" s="6">
        <v>1</v>
      </c>
      <c r="F67" s="6" t="str">
        <f>IFERROR(IF(VLOOKUP(Tbl_Donnees[[#This Row],[Référence]]&amp;"",Tbl_Catalogue[],2,FALSE)=0,"-",VLOOKUP(Tbl_Donnees[[#This Row],[Référence]]&amp;"",Tbl_Catalogue[],2,FALSE)),"-")</f>
        <v>FESTO</v>
      </c>
      <c r="G67" s="20" t="s">
        <v>132</v>
      </c>
      <c r="H67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67" s="2" t="str">
        <f>IFERROR(IF(VLOOKUP(Tbl_Donnees[[#This Row],[Référence]]&amp;"",Tbl_Catalogue[],5,FALSE)=0,"-",VLOOKUP(Tbl_Donnees[[#This Row],[Référence]]&amp;"",Tbl_Catalogue[],5,FALSE)),"INCONNU")</f>
        <v>PHASE OUT</v>
      </c>
      <c r="J67" s="3" t="str">
        <f>IFERROR(IF(VLOOKUP(Tbl_Donnees[[#This Row],[Référence]]&amp;"",Tbl_Catalogue[],6,FALSE)=0,"-",VLOOKUP(Tbl_Donnees[[#This Row],[Référence]]&amp;"",Tbl_Catalogue[],6,FALSE)),"-")</f>
        <v>https://www.festo.com/fr/fr/a/172959/?q=172959%7E%3AfestoSortOrderScored</v>
      </c>
      <c r="K67" s="2" t="str">
        <f>IFERROR(IF(VLOOKUP(Tbl_Donnees[[#This Row],[Référence]]&amp;"",Tbl_Catalogue[],7,FALSE)=0,"-",VLOOKUP(Tbl_Donnees[[#This Row],[Référence]]&amp;"",Tbl_Catalogue[],7,FALSE)),"-")</f>
        <v>OUI</v>
      </c>
      <c r="L67" s="5" t="str">
        <f>IFERROR(IF(VLOOKUP(Tbl_Donnees[[#This Row],[Référence]]&amp;"",Tbl_Catalogue[],10,FALSE)=0,"-",VLOOKUP(Tbl_Donnees[[#This Row],[Référence]]&amp;"",Tbl_Catalogue[],10,FALSE)),"-")</f>
        <v>-</v>
      </c>
      <c r="M67" s="2" t="str">
        <f>IFERROR(IF(VLOOKUP(Tbl_Donnees[[#This Row],[Référence]]&amp;"",Tbl_Catalogue[],8,FALSE)=0,"-",VLOOKUP(Tbl_Donnees[[#This Row],[Référence]]&amp;"",Tbl_Catalogue[],8,FALSE)),"-")</f>
        <v>MS6-EE-1/2-V24 (Ref : 611663)</v>
      </c>
      <c r="N67" s="5" t="str">
        <f>IFERROR(IF(VLOOKUP(Tbl_Donnees[[#This Row],[Référence]]&amp;"",Tbl_Catalogue[],9,FALSE)=0,"-",VLOOKUP(Tbl_Donnees[[#This Row],[Référence]]&amp;"",Tbl_Catalogue[],9,FALSE)),"-")</f>
        <v>FESTO</v>
      </c>
      <c r="O67" s="5" t="str">
        <f>IFERROR(IF(VLOOKUP(Tbl_Donnees[[#This Row],[Référence]]&amp;"",Tbl_Catalogue[],11,FALSE)=0,"-",VLOOKUP(Tbl_Donnees[[#This Row],[Référence]]&amp;"",Tbl_Catalogue[],11,FALSE)),"-")</f>
        <v>-</v>
      </c>
      <c r="P67" s="2" t="str">
        <f>IFERROR(IF(VLOOKUP(Tbl_Donnees[[#This Row],[Référence]]&amp;"",Tbl_Catalogue[],12,FALSE)=0,"-",VLOOKUP(Tbl_Donnees[[#This Row],[Référence]]&amp;"",Tbl_Catalogue[],12,FALSE)),"-")</f>
        <v>ACTIF</v>
      </c>
      <c r="Q67" s="13" t="str">
        <f>IFERROR(IF(VLOOKUP(Tbl_Donnees[[#This Row],[Référence]]&amp;"",Tbl_Catalogue[],13,FALSE)=0,"-",VLOOKUP(Tbl_Donnees[[#This Row],[Référence]]&amp;"",Tbl_Catalogue[],13,FALSE)),"-")</f>
        <v>https://www.festo.com/fr/fr/a/611663/</v>
      </c>
      <c r="R67" s="2"/>
    </row>
    <row r="68" spans="1:18" x14ac:dyDescent="0.2">
      <c r="A68" s="2" t="s">
        <v>3</v>
      </c>
      <c r="B68" s="5" t="s">
        <v>620</v>
      </c>
      <c r="C68" s="5" t="s">
        <v>140</v>
      </c>
      <c r="D68" s="6" t="str">
        <f>IFERROR(IF(VLOOKUP(Tbl_Donnees[[#This Row],[Référence]]&amp;"",Tbl_Catalogue[],3,FALSE)=0,"-",VLOOKUP(Tbl_Donnees[[#This Row],[Référence]]&amp;"",Tbl_Catalogue[],3,FALSE)),"-")</f>
        <v>LUBRIFICATEUR MIDI</v>
      </c>
      <c r="E68" s="6">
        <v>1</v>
      </c>
      <c r="F68" s="6" t="str">
        <f>IFERROR(IF(VLOOKUP(Tbl_Donnees[[#This Row],[Référence]]&amp;"",Tbl_Catalogue[],2,FALSE)=0,"-",VLOOKUP(Tbl_Donnees[[#This Row],[Référence]]&amp;"",Tbl_Catalogue[],2,FALSE)),"-")</f>
        <v>FESTO</v>
      </c>
      <c r="G68" s="20" t="s">
        <v>134</v>
      </c>
      <c r="H68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68" s="2" t="str">
        <f>IFERROR(IF(VLOOKUP(Tbl_Donnees[[#This Row],[Référence]]&amp;"",Tbl_Catalogue[],5,FALSE)=0,"-",VLOOKUP(Tbl_Donnees[[#This Row],[Référence]]&amp;"",Tbl_Catalogue[],5,FALSE)),"INCONNU")</f>
        <v>PHASE OUT</v>
      </c>
      <c r="J68" s="3" t="str">
        <f>IFERROR(IF(VLOOKUP(Tbl_Donnees[[#This Row],[Référence]]&amp;"",Tbl_Catalogue[],6,FALSE)=0,"-",VLOOKUP(Tbl_Donnees[[#This Row],[Référence]]&amp;"",Tbl_Catalogue[],6,FALSE)),"-")</f>
        <v>https://www.festo.com/fr/fr/a/192576/?q=192576%7E%3AfestoSortOrderScored</v>
      </c>
      <c r="K68" s="2" t="str">
        <f>IFERROR(IF(VLOOKUP(Tbl_Donnees[[#This Row],[Référence]]&amp;"",Tbl_Catalogue[],7,FALSE)=0,"-",VLOOKUP(Tbl_Donnees[[#This Row],[Référence]]&amp;"",Tbl_Catalogue[],7,FALSE)),"-")</f>
        <v>OUI</v>
      </c>
      <c r="L68" s="5" t="str">
        <f>IFERROR(IF(VLOOKUP(Tbl_Donnees[[#This Row],[Référence]]&amp;"",Tbl_Catalogue[],10,FALSE)=0,"-",VLOOKUP(Tbl_Donnees[[#This Row],[Référence]]&amp;"",Tbl_Catalogue[],10,FALSE)),"-")</f>
        <v>-</v>
      </c>
      <c r="M68" s="2" t="str">
        <f>IFERROR(IF(VLOOKUP(Tbl_Donnees[[#This Row],[Référence]]&amp;"",Tbl_Catalogue[],8,FALSE)=0,"-",VLOOKUP(Tbl_Donnees[[#This Row],[Référence]]&amp;"",Tbl_Catalogue[],8,FALSE)),"-")</f>
        <v>MS6-LOE-1/2-R (Ref : 529775)</v>
      </c>
      <c r="N68" s="5" t="str">
        <f>IFERROR(IF(VLOOKUP(Tbl_Donnees[[#This Row],[Référence]]&amp;"",Tbl_Catalogue[],9,FALSE)=0,"-",VLOOKUP(Tbl_Donnees[[#This Row],[Référence]]&amp;"",Tbl_Catalogue[],9,FALSE)),"-")</f>
        <v>FESTO</v>
      </c>
      <c r="O68" s="5" t="str">
        <f>IFERROR(IF(VLOOKUP(Tbl_Donnees[[#This Row],[Référence]]&amp;"",Tbl_Catalogue[],11,FALSE)=0,"-",VLOOKUP(Tbl_Donnees[[#This Row],[Référence]]&amp;"",Tbl_Catalogue[],11,FALSE)),"-")</f>
        <v>-</v>
      </c>
      <c r="P68" s="2" t="str">
        <f>IFERROR(IF(VLOOKUP(Tbl_Donnees[[#This Row],[Référence]]&amp;"",Tbl_Catalogue[],12,FALSE)=0,"-",VLOOKUP(Tbl_Donnees[[#This Row],[Référence]]&amp;"",Tbl_Catalogue[],12,FALSE)),"-")</f>
        <v>ACTIF</v>
      </c>
      <c r="Q68" s="13" t="str">
        <f>IFERROR(IF(VLOOKUP(Tbl_Donnees[[#This Row],[Référence]]&amp;"",Tbl_Catalogue[],13,FALSE)=0,"-",VLOOKUP(Tbl_Donnees[[#This Row],[Référence]]&amp;"",Tbl_Catalogue[],13,FALSE)),"-")</f>
        <v>https://www.festo.com/fr/fr/a/529775/</v>
      </c>
      <c r="R68" s="5"/>
    </row>
    <row r="69" spans="1:18" x14ac:dyDescent="0.2">
      <c r="A69" s="2" t="s">
        <v>3</v>
      </c>
      <c r="B69" s="5" t="s">
        <v>620</v>
      </c>
      <c r="C69" s="5" t="s">
        <v>140</v>
      </c>
      <c r="D69" s="6" t="str">
        <f>IFERROR(IF(VLOOKUP(Tbl_Donnees[[#This Row],[Référence]]&amp;"",Tbl_Catalogue[],3,FALSE)=0,"-",VLOOKUP(Tbl_Donnees[[#This Row],[Référence]]&amp;"",Tbl_Catalogue[],3,FALSE)),"-")</f>
        <v>MODULE DE DERIVATION</v>
      </c>
      <c r="E69" s="6">
        <v>1</v>
      </c>
      <c r="F69" s="6" t="str">
        <f>IFERROR(IF(VLOOKUP(Tbl_Donnees[[#This Row],[Référence]]&amp;"",Tbl_Catalogue[],2,FALSE)=0,"-",VLOOKUP(Tbl_Donnees[[#This Row],[Référence]]&amp;"",Tbl_Catalogue[],2,FALSE)),"-")</f>
        <v>FESTO</v>
      </c>
      <c r="G69" s="20" t="s">
        <v>136</v>
      </c>
      <c r="H69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69" s="2" t="str">
        <f>IFERROR(IF(VLOOKUP(Tbl_Donnees[[#This Row],[Référence]]&amp;"",Tbl_Catalogue[],5,FALSE)=0,"-",VLOOKUP(Tbl_Donnees[[#This Row],[Référence]]&amp;"",Tbl_Catalogue[],5,FALSE)),"INCONNU")</f>
        <v>PHASE OUT</v>
      </c>
      <c r="J69" s="3" t="str">
        <f>IFERROR(IF(VLOOKUP(Tbl_Donnees[[#This Row],[Référence]]&amp;"",Tbl_Catalogue[],6,FALSE)=0,"-",VLOOKUP(Tbl_Donnees[[#This Row],[Référence]]&amp;"",Tbl_Catalogue[],6,FALSE)),"-")</f>
        <v>https://www.festo.com/fr/fr/a/170685/?q=170685%7E%3AfestoSortOrderScored</v>
      </c>
      <c r="K69" s="2" t="str">
        <f>IFERROR(IF(VLOOKUP(Tbl_Donnees[[#This Row],[Référence]]&amp;"",Tbl_Catalogue[],7,FALSE)=0,"-",VLOOKUP(Tbl_Donnees[[#This Row],[Référence]]&amp;"",Tbl_Catalogue[],7,FALSE)),"-")</f>
        <v>OUI</v>
      </c>
      <c r="L69" s="5" t="str">
        <f>IFERROR(IF(VLOOKUP(Tbl_Donnees[[#This Row],[Référence]]&amp;"",Tbl_Catalogue[],10,FALSE)=0,"-",VLOOKUP(Tbl_Donnees[[#This Row],[Référence]]&amp;"",Tbl_Catalogue[],10,FALSE)),"-")</f>
        <v>-</v>
      </c>
      <c r="M69" s="2" t="str">
        <f>IFERROR(IF(VLOOKUP(Tbl_Donnees[[#This Row],[Référence]]&amp;"",Tbl_Catalogue[],8,FALSE)=0,"-",VLOOKUP(Tbl_Donnees[[#This Row],[Référence]]&amp;"",Tbl_Catalogue[],8,FALSE)),"-")</f>
        <v>MS6-FRM-1/2 (Ref : 529853)</v>
      </c>
      <c r="N69" s="5" t="str">
        <f>IFERROR(IF(VLOOKUP(Tbl_Donnees[[#This Row],[Référence]]&amp;"",Tbl_Catalogue[],9,FALSE)=0,"-",VLOOKUP(Tbl_Donnees[[#This Row],[Référence]]&amp;"",Tbl_Catalogue[],9,FALSE)),"-")</f>
        <v>FESTO</v>
      </c>
      <c r="O69" s="5" t="str">
        <f>IFERROR(IF(VLOOKUP(Tbl_Donnees[[#This Row],[Référence]]&amp;"",Tbl_Catalogue[],11,FALSE)=0,"-",VLOOKUP(Tbl_Donnees[[#This Row],[Référence]]&amp;"",Tbl_Catalogue[],11,FALSE)),"-")</f>
        <v>-</v>
      </c>
      <c r="P69" s="2" t="str">
        <f>IFERROR(IF(VLOOKUP(Tbl_Donnees[[#This Row],[Référence]]&amp;"",Tbl_Catalogue[],12,FALSE)=0,"-",VLOOKUP(Tbl_Donnees[[#This Row],[Référence]]&amp;"",Tbl_Catalogue[],12,FALSE)),"-")</f>
        <v>ACTIF</v>
      </c>
      <c r="Q69" s="13" t="str">
        <f>IFERROR(IF(VLOOKUP(Tbl_Donnees[[#This Row],[Référence]]&amp;"",Tbl_Catalogue[],13,FALSE)=0,"-",VLOOKUP(Tbl_Donnees[[#This Row],[Référence]]&amp;"",Tbl_Catalogue[],13,FALSE)),"-")</f>
        <v>https://www.festo.com/fr/fr/a/529853/</v>
      </c>
      <c r="R69" s="2"/>
    </row>
    <row r="70" spans="1:18" x14ac:dyDescent="0.2">
      <c r="A70" s="2" t="s">
        <v>3</v>
      </c>
      <c r="B70" s="5" t="s">
        <v>620</v>
      </c>
      <c r="C70" s="5" t="s">
        <v>140</v>
      </c>
      <c r="D70" s="6" t="str">
        <f>IFERROR(IF(VLOOKUP(Tbl_Donnees[[#This Row],[Référence]]&amp;"",Tbl_Catalogue[],3,FALSE)=0,"-",VLOOKUP(Tbl_Donnees[[#This Row],[Référence]]&amp;"",Tbl_Catalogue[],3,FALSE)),"-")</f>
        <v>DISTRIB. MISE EN CIRCUIT</v>
      </c>
      <c r="E70" s="6">
        <v>1</v>
      </c>
      <c r="F70" s="6" t="str">
        <f>IFERROR(IF(VLOOKUP(Tbl_Donnees[[#This Row],[Référence]]&amp;"",Tbl_Catalogue[],2,FALSE)=0,"-",VLOOKUP(Tbl_Donnees[[#This Row],[Référence]]&amp;"",Tbl_Catalogue[],2,FALSE)),"-")</f>
        <v>FESTO</v>
      </c>
      <c r="G70" s="20" t="s">
        <v>137</v>
      </c>
      <c r="H70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70" s="2" t="str">
        <f>IFERROR(IF(VLOOKUP(Tbl_Donnees[[#This Row],[Référence]]&amp;"",Tbl_Catalogue[],5,FALSE)=0,"-",VLOOKUP(Tbl_Donnees[[#This Row],[Référence]]&amp;"",Tbl_Catalogue[],5,FALSE)),"INCONNU")</f>
        <v>PHASE OUT</v>
      </c>
      <c r="J70" s="3" t="str">
        <f>IFERROR(IF(VLOOKUP(Tbl_Donnees[[#This Row],[Référence]]&amp;"",Tbl_Catalogue[],6,FALSE)=0,"-",VLOOKUP(Tbl_Donnees[[#This Row],[Référence]]&amp;"",Tbl_Catalogue[],6,FALSE)),"-")</f>
        <v>https://www.festo.com/fr/fr/a/170682/?q=170682%7E%3AfestoSortOrderScored</v>
      </c>
      <c r="K70" s="2" t="str">
        <f>IFERROR(IF(VLOOKUP(Tbl_Donnees[[#This Row],[Référence]]&amp;"",Tbl_Catalogue[],7,FALSE)=0,"-",VLOOKUP(Tbl_Donnees[[#This Row],[Référence]]&amp;"",Tbl_Catalogue[],7,FALSE)),"-")</f>
        <v>OUI</v>
      </c>
      <c r="L70" s="5" t="str">
        <f>IFERROR(IF(VLOOKUP(Tbl_Donnees[[#This Row],[Référence]]&amp;"",Tbl_Catalogue[],10,FALSE)=0,"-",VLOOKUP(Tbl_Donnees[[#This Row],[Référence]]&amp;"",Tbl_Catalogue[],10,FALSE)),"-")</f>
        <v>-</v>
      </c>
      <c r="M70" s="2" t="str">
        <f>IFERROR(IF(VLOOKUP(Tbl_Donnees[[#This Row],[Référence]]&amp;"",Tbl_Catalogue[],8,FALSE)=0,"-",VLOOKUP(Tbl_Donnees[[#This Row],[Référence]]&amp;"",Tbl_Catalogue[],8,FALSE)),"-")</f>
        <v>MS6-EM1-1/2 (Ref : 541267)</v>
      </c>
      <c r="N70" s="5" t="str">
        <f>IFERROR(IF(VLOOKUP(Tbl_Donnees[[#This Row],[Référence]]&amp;"",Tbl_Catalogue[],9,FALSE)=0,"-",VLOOKUP(Tbl_Donnees[[#This Row],[Référence]]&amp;"",Tbl_Catalogue[],9,FALSE)),"-")</f>
        <v>FESTO</v>
      </c>
      <c r="O70" s="5" t="str">
        <f>IFERROR(IF(VLOOKUP(Tbl_Donnees[[#This Row],[Référence]]&amp;"",Tbl_Catalogue[],11,FALSE)=0,"-",VLOOKUP(Tbl_Donnees[[#This Row],[Référence]]&amp;"",Tbl_Catalogue[],11,FALSE)),"-")</f>
        <v>-</v>
      </c>
      <c r="P70" s="2" t="str">
        <f>IFERROR(IF(VLOOKUP(Tbl_Donnees[[#This Row],[Référence]]&amp;"",Tbl_Catalogue[],12,FALSE)=0,"-",VLOOKUP(Tbl_Donnees[[#This Row],[Référence]]&amp;"",Tbl_Catalogue[],12,FALSE)),"-")</f>
        <v>ACTIF</v>
      </c>
      <c r="Q70" s="13" t="str">
        <f>IFERROR(IF(VLOOKUP(Tbl_Donnees[[#This Row],[Référence]]&amp;"",Tbl_Catalogue[],13,FALSE)=0,"-",VLOOKUP(Tbl_Donnees[[#This Row],[Référence]]&amp;"",Tbl_Catalogue[],13,FALSE)),"-")</f>
        <v>https://www.festo.com/fr/fr/a/541267/</v>
      </c>
      <c r="R70" s="5"/>
    </row>
    <row r="71" spans="1:18" x14ac:dyDescent="0.2">
      <c r="A71" s="2" t="s">
        <v>3</v>
      </c>
      <c r="B71" s="5" t="s">
        <v>620</v>
      </c>
      <c r="C71" s="5" t="s">
        <v>140</v>
      </c>
      <c r="D71" s="6" t="str">
        <f>IFERROR(IF(VLOOKUP(Tbl_Donnees[[#This Row],[Référence]]&amp;"",Tbl_Catalogue[],3,FALSE)=0,"-",VLOOKUP(Tbl_Donnees[[#This Row],[Référence]]&amp;"",Tbl_Catalogue[],3,FALSE)),"-")</f>
        <v>FILTRE-MANODETENDEUR 3/8</v>
      </c>
      <c r="E71" s="6">
        <v>1</v>
      </c>
      <c r="F71" s="6" t="str">
        <f>IFERROR(IF(VLOOKUP(Tbl_Donnees[[#This Row],[Référence]]&amp;"",Tbl_Catalogue[],2,FALSE)=0,"-",VLOOKUP(Tbl_Donnees[[#This Row],[Référence]]&amp;"",Tbl_Catalogue[],2,FALSE)),"-")</f>
        <v>FESTO</v>
      </c>
      <c r="G71" s="20" t="s">
        <v>139</v>
      </c>
      <c r="H71" s="6" t="str">
        <f>IFERROR(IF(VLOOKUP(Tbl_Donnees[[#This Row],[Référence]]&amp;"",Tbl_Catalogue[],4,FALSE)=0,"-",VLOOKUP(Tbl_Donnees[[#This Row],[Référence]]&amp;"",Tbl_Catalogue[],4,FALSE)),"-")</f>
        <v>Produit sera arrêté le 12/2028</v>
      </c>
      <c r="I71" s="2" t="str">
        <f>IFERROR(IF(VLOOKUP(Tbl_Donnees[[#This Row],[Référence]]&amp;"",Tbl_Catalogue[],5,FALSE)=0,"-",VLOOKUP(Tbl_Donnees[[#This Row],[Référence]]&amp;"",Tbl_Catalogue[],5,FALSE)),"INCONNU")</f>
        <v>PHASE OUT</v>
      </c>
      <c r="J71" s="3" t="str">
        <f>IFERROR(IF(VLOOKUP(Tbl_Donnees[[#This Row],[Référence]]&amp;"",Tbl_Catalogue[],6,FALSE)=0,"-",VLOOKUP(Tbl_Donnees[[#This Row],[Référence]]&amp;"",Tbl_Catalogue[],6,FALSE)),"-")</f>
        <v>http://festo.com/fr/fr/a/159583/?q=159583~%3AfestoSortOrderScored</v>
      </c>
      <c r="K71" s="2" t="str">
        <f>IFERROR(IF(VLOOKUP(Tbl_Donnees[[#This Row],[Référence]]&amp;"",Tbl_Catalogue[],7,FALSE)=0,"-",VLOOKUP(Tbl_Donnees[[#This Row],[Référence]]&amp;"",Tbl_Catalogue[],7,FALSE)),"-")</f>
        <v>OUI</v>
      </c>
      <c r="L71" s="5" t="str">
        <f>IFERROR(IF(VLOOKUP(Tbl_Donnees[[#This Row],[Référence]]&amp;"",Tbl_Catalogue[],10,FALSE)=0,"-",VLOOKUP(Tbl_Donnees[[#This Row],[Référence]]&amp;"",Tbl_Catalogue[],10,FALSE)),"-")</f>
        <v>-</v>
      </c>
      <c r="M71" s="2" t="str">
        <f>IFERROR(IF(VLOOKUP(Tbl_Donnees[[#This Row],[Référence]]&amp;"",Tbl_Catalogue[],8,FALSE)=0,"-",VLOOKUP(Tbl_Donnees[[#This Row],[Référence]]&amp;"",Tbl_Catalogue[],8,FALSE)),"-")</f>
        <v>MS6-LFR-3/8-D7-ERV-AS</v>
      </c>
      <c r="N71" s="5" t="str">
        <f>IFERROR(IF(VLOOKUP(Tbl_Donnees[[#This Row],[Référence]]&amp;"",Tbl_Catalogue[],9,FALSE)=0,"-",VLOOKUP(Tbl_Donnees[[#This Row],[Référence]]&amp;"",Tbl_Catalogue[],9,FALSE)),"-")</f>
        <v>FESTO</v>
      </c>
      <c r="O71" s="5" t="str">
        <f>IFERROR(IF(VLOOKUP(Tbl_Donnees[[#This Row],[Référence]]&amp;"",Tbl_Catalogue[],11,FALSE)=0,"-",VLOOKUP(Tbl_Donnees[[#This Row],[Référence]]&amp;"",Tbl_Catalogue[],11,FALSE)),"-")</f>
        <v>-</v>
      </c>
      <c r="P71" s="2" t="str">
        <f>IFERROR(IF(VLOOKUP(Tbl_Donnees[[#This Row],[Référence]]&amp;"",Tbl_Catalogue[],12,FALSE)=0,"-",VLOOKUP(Tbl_Donnees[[#This Row],[Référence]]&amp;"",Tbl_Catalogue[],12,FALSE)),"-")</f>
        <v>ACTIF</v>
      </c>
      <c r="Q71" s="13" t="str">
        <f>IFERROR(IF(VLOOKUP(Tbl_Donnees[[#This Row],[Référence]]&amp;"",Tbl_Catalogue[],13,FALSE)=0,"-",VLOOKUP(Tbl_Donnees[[#This Row],[Référence]]&amp;"",Tbl_Catalogue[],13,FALSE)),"-")</f>
        <v>https://www.festo.com/fr/fr/a/529230/</v>
      </c>
      <c r="R71" s="2"/>
    </row>
    <row r="72" spans="1:18" x14ac:dyDescent="0.2">
      <c r="A72" s="2" t="s">
        <v>3</v>
      </c>
      <c r="B72" s="5" t="s">
        <v>620</v>
      </c>
      <c r="C72" s="5" t="s">
        <v>140</v>
      </c>
      <c r="D72" s="6" t="str">
        <f>IFERROR(IF(VLOOKUP(Tbl_Donnees[[#This Row],[Référence]]&amp;"",Tbl_Catalogue[],3,FALSE)=0,"-",VLOOKUP(Tbl_Donnees[[#This Row],[Référence]]&amp;"",Tbl_Catalogue[],3,FALSE)),"-")</f>
        <v>MANOMETRE 0-16B 1/4</v>
      </c>
      <c r="E72" s="6">
        <v>1</v>
      </c>
      <c r="F72" s="6" t="str">
        <f>IFERROR(IF(VLOOKUP(Tbl_Donnees[[#This Row],[Référence]]&amp;"",Tbl_Catalogue[],2,FALSE)=0,"-",VLOOKUP(Tbl_Donnees[[#This Row],[Référence]]&amp;"",Tbl_Catalogue[],2,FALSE)),"-")</f>
        <v>FESTO</v>
      </c>
      <c r="G72" s="20" t="s">
        <v>128</v>
      </c>
      <c r="H72" s="6" t="str">
        <f>IFERROR(IF(VLOOKUP(Tbl_Donnees[[#This Row],[Référence]]&amp;"",Tbl_Catalogue[],4,FALSE)=0,"-",VLOOKUP(Tbl_Donnees[[#This Row],[Référence]]&amp;"",Tbl_Catalogue[],4,FALSE)),"-")</f>
        <v>Produit actif</v>
      </c>
      <c r="I72" s="2" t="str">
        <f>IFERROR(IF(VLOOKUP(Tbl_Donnees[[#This Row],[Référence]]&amp;"",Tbl_Catalogue[],5,FALSE)=0,"-",VLOOKUP(Tbl_Donnees[[#This Row],[Référence]]&amp;"",Tbl_Catalogue[],5,FALSE)),"INCONNU")</f>
        <v>ACTIF</v>
      </c>
      <c r="J72" s="3" t="str">
        <f>IFERROR(IF(VLOOKUP(Tbl_Donnees[[#This Row],[Référence]]&amp;"",Tbl_Catalogue[],6,FALSE)=0,"-",VLOOKUP(Tbl_Donnees[[#This Row],[Référence]]&amp;"",Tbl_Catalogue[],6,FALSE)),"-")</f>
        <v>https://www.festo.com/fr/fr/a/356759/?q=356759%7E%3AfestoSortOrderScored</v>
      </c>
      <c r="K72" s="2" t="str">
        <f>IFERROR(IF(VLOOKUP(Tbl_Donnees[[#This Row],[Référence]]&amp;"",Tbl_Catalogue[],7,FALSE)=0,"-",VLOOKUP(Tbl_Donnees[[#This Row],[Référence]]&amp;"",Tbl_Catalogue[],7,FALSE)),"-")</f>
        <v>-</v>
      </c>
      <c r="L72" s="5" t="str">
        <f>IFERROR(IF(VLOOKUP(Tbl_Donnees[[#This Row],[Référence]]&amp;"",Tbl_Catalogue[],10,FALSE)=0,"-",VLOOKUP(Tbl_Donnees[[#This Row],[Référence]]&amp;"",Tbl_Catalogue[],10,FALSE)),"-")</f>
        <v>-</v>
      </c>
      <c r="M72" s="2" t="str">
        <f>IFERROR(IF(VLOOKUP(Tbl_Donnees[[#This Row],[Référence]]&amp;"",Tbl_Catalogue[],8,FALSE)=0,"-",VLOOKUP(Tbl_Donnees[[#This Row],[Référence]]&amp;"",Tbl_Catalogue[],8,FALSE)),"-")</f>
        <v>-</v>
      </c>
      <c r="N72" s="5" t="str">
        <f>IFERROR(IF(VLOOKUP(Tbl_Donnees[[#This Row],[Référence]]&amp;"",Tbl_Catalogue[],9,FALSE)=0,"-",VLOOKUP(Tbl_Donnees[[#This Row],[Référence]]&amp;"",Tbl_Catalogue[],9,FALSE)),"-")</f>
        <v>-</v>
      </c>
      <c r="O72" s="5" t="str">
        <f>IFERROR(IF(VLOOKUP(Tbl_Donnees[[#This Row],[Référence]]&amp;"",Tbl_Catalogue[],11,FALSE)=0,"-",VLOOKUP(Tbl_Donnees[[#This Row],[Référence]]&amp;"",Tbl_Catalogue[],11,FALSE)),"-")</f>
        <v>-</v>
      </c>
      <c r="P72" s="2" t="str">
        <f>IFERROR(IF(VLOOKUP(Tbl_Donnees[[#This Row],[Référence]]&amp;"",Tbl_Catalogue[],12,FALSE)=0,"-",VLOOKUP(Tbl_Donnees[[#This Row],[Référence]]&amp;"",Tbl_Catalogue[],12,FALSE)),"-")</f>
        <v>-</v>
      </c>
      <c r="Q72" s="13" t="str">
        <f>IFERROR(IF(VLOOKUP(Tbl_Donnees[[#This Row],[Référence]]&amp;"",Tbl_Catalogue[],13,FALSE)=0,"-",VLOOKUP(Tbl_Donnees[[#This Row],[Référence]]&amp;"",Tbl_Catalogue[],13,FALSE)),"-")</f>
        <v>-</v>
      </c>
      <c r="R72" s="5"/>
    </row>
    <row r="73" spans="1:18" x14ac:dyDescent="0.2">
      <c r="A73" s="2" t="s">
        <v>3</v>
      </c>
      <c r="B73" s="5" t="s">
        <v>620</v>
      </c>
      <c r="C73" s="5" t="s">
        <v>140</v>
      </c>
      <c r="D73" s="6" t="str">
        <f>IFERROR(IF(VLOOKUP(Tbl_Donnees[[#This Row],[Référence]]&amp;"",Tbl_Catalogue[],3,FALSE)=0,"-",VLOOKUP(Tbl_Donnees[[#This Row],[Référence]]&amp;"",Tbl_Catalogue[],3,FALSE)),"-")</f>
        <v>DISTRIB. 4WE6D52/AG24</v>
      </c>
      <c r="E73" s="6">
        <v>1</v>
      </c>
      <c r="F73" s="6" t="str">
        <f>IFERROR(IF(VLOOKUP(Tbl_Donnees[[#This Row],[Référence]]&amp;"",Tbl_Catalogue[],2,FALSE)=0,"-",VLOOKUP(Tbl_Donnees[[#This Row],[Référence]]&amp;"",Tbl_Catalogue[],2,FALSE)),"-")</f>
        <v>BOSCH REXROTH</v>
      </c>
      <c r="G73" s="20" t="s">
        <v>120</v>
      </c>
      <c r="H73" s="6" t="str">
        <f>IFERROR(IF(VLOOKUP(Tbl_Donnees[[#This Row],[Référence]]&amp;"",Tbl_Catalogue[],4,FALSE)=0,"-",VLOOKUP(Tbl_Donnees[[#This Row],[Référence]]&amp;"",Tbl_Catalogue[],4,FALSE)),"-")</f>
        <v>Plus de production</v>
      </c>
      <c r="I73" s="2" t="str">
        <f>IFERROR(IF(VLOOKUP(Tbl_Donnees[[#This Row],[Référence]]&amp;"",Tbl_Catalogue[],5,FALSE)=0,"-",VLOOKUP(Tbl_Donnees[[#This Row],[Référence]]&amp;"",Tbl_Catalogue[],5,FALSE)),"INCONNU")</f>
        <v>OBSOLETE</v>
      </c>
      <c r="J73" s="3" t="str">
        <f>IFERROR(IF(VLOOKUP(Tbl_Donnees[[#This Row],[Référence]]&amp;"",Tbl_Catalogue[],6,FALSE)=0,"-",VLOOKUP(Tbl_Donnees[[#This Row],[Référence]]&amp;"",Tbl_Catalogue[],6,FALSE)),"-")</f>
        <v>https://store.boschrexroth.com/fr/fr/p/r900443143</v>
      </c>
      <c r="K73" s="2" t="str">
        <f>IFERROR(IF(VLOOKUP(Tbl_Donnees[[#This Row],[Référence]]&amp;"",Tbl_Catalogue[],7,FALSE)=0,"-",VLOOKUP(Tbl_Donnees[[#This Row],[Référence]]&amp;"",Tbl_Catalogue[],7,FALSE)),"-")</f>
        <v>INCONNU</v>
      </c>
      <c r="L73" s="5" t="str">
        <f>IFERROR(IF(VLOOKUP(Tbl_Donnees[[#This Row],[Référence]]&amp;"",Tbl_Catalogue[],10,FALSE)=0,"-",VLOOKUP(Tbl_Donnees[[#This Row],[Référence]]&amp;"",Tbl_Catalogue[],10,FALSE)),"-")</f>
        <v>-</v>
      </c>
      <c r="M73" s="2" t="str">
        <f>IFERROR(IF(VLOOKUP(Tbl_Donnees[[#This Row],[Référence]]&amp;"",Tbl_Catalogue[],8,FALSE)=0,"-",VLOOKUP(Tbl_Donnees[[#This Row],[Référence]]&amp;"",Tbl_Catalogue[],8,FALSE)),"-")</f>
        <v>-</v>
      </c>
      <c r="N73" s="5" t="str">
        <f>IFERROR(IF(VLOOKUP(Tbl_Donnees[[#This Row],[Référence]]&amp;"",Tbl_Catalogue[],9,FALSE)=0,"-",VLOOKUP(Tbl_Donnees[[#This Row],[Référence]]&amp;"",Tbl_Catalogue[],9,FALSE)),"-")</f>
        <v>-</v>
      </c>
      <c r="O73" s="5" t="str">
        <f>IFERROR(IF(VLOOKUP(Tbl_Donnees[[#This Row],[Référence]]&amp;"",Tbl_Catalogue[],11,FALSE)=0,"-",VLOOKUP(Tbl_Donnees[[#This Row],[Référence]]&amp;"",Tbl_Catalogue[],11,FALSE)),"-")</f>
        <v>-</v>
      </c>
      <c r="P73" s="2" t="str">
        <f>IFERROR(IF(VLOOKUP(Tbl_Donnees[[#This Row],[Référence]]&amp;"",Tbl_Catalogue[],12,FALSE)=0,"-",VLOOKUP(Tbl_Donnees[[#This Row],[Référence]]&amp;"",Tbl_Catalogue[],12,FALSE)),"-")</f>
        <v>-</v>
      </c>
      <c r="Q73" s="13" t="str">
        <f>IFERROR(IF(VLOOKUP(Tbl_Donnees[[#This Row],[Référence]]&amp;"",Tbl_Catalogue[],13,FALSE)=0,"-",VLOOKUP(Tbl_Donnees[[#This Row],[Référence]]&amp;"",Tbl_Catalogue[],13,FALSE)),"-")</f>
        <v>-</v>
      </c>
      <c r="R73" s="2"/>
    </row>
    <row r="74" spans="1:18" x14ac:dyDescent="0.2">
      <c r="A74" s="2" t="s">
        <v>3</v>
      </c>
      <c r="B74" s="5" t="s">
        <v>620</v>
      </c>
      <c r="C74" s="5" t="s">
        <v>140</v>
      </c>
      <c r="D74" s="6" t="str">
        <f>IFERROR(IF(VLOOKUP(Tbl_Donnees[[#This Row],[Référence]]&amp;"",Tbl_Catalogue[],3,FALSE)=0,"-",VLOOKUP(Tbl_Donnees[[#This Row],[Référence]]&amp;"",Tbl_Catalogue[],3,FALSE)),"-")</f>
        <v>DISTRIB. 4WE6D1X/OFZG24</v>
      </c>
      <c r="E74" s="6">
        <v>1</v>
      </c>
      <c r="F74" s="6" t="str">
        <f>IFERROR(IF(VLOOKUP(Tbl_Donnees[[#This Row],[Référence]]&amp;"",Tbl_Catalogue[],2,FALSE)=0,"-",VLOOKUP(Tbl_Donnees[[#This Row],[Référence]]&amp;"",Tbl_Catalogue[],2,FALSE)),"-")</f>
        <v>BOSCH REXROTH</v>
      </c>
      <c r="G74" s="20" t="s">
        <v>122</v>
      </c>
      <c r="H74" s="6" t="str">
        <f>IFERROR(IF(VLOOKUP(Tbl_Donnees[[#This Row],[Référence]]&amp;"",Tbl_Catalogue[],4,FALSE)=0,"-",VLOOKUP(Tbl_Donnees[[#This Row],[Référence]]&amp;"",Tbl_Catalogue[],4,FALSE)),"-")</f>
        <v>Plus de production</v>
      </c>
      <c r="I74" s="2" t="str">
        <f>IFERROR(IF(VLOOKUP(Tbl_Donnees[[#This Row],[Référence]]&amp;"",Tbl_Catalogue[],5,FALSE)=0,"-",VLOOKUP(Tbl_Donnees[[#This Row],[Référence]]&amp;"",Tbl_Catalogue[],5,FALSE)),"INCONNU")</f>
        <v>OBSOLETE</v>
      </c>
      <c r="J74" s="3" t="str">
        <f>IFERROR(IF(VLOOKUP(Tbl_Donnees[[#This Row],[Référence]]&amp;"",Tbl_Catalogue[],6,FALSE)=0,"-",VLOOKUP(Tbl_Donnees[[#This Row],[Référence]]&amp;"",Tbl_Catalogue[],6,FALSE)),"-")</f>
        <v>rexroth | A Bosch Company</v>
      </c>
      <c r="K74" s="2" t="str">
        <f>IFERROR(IF(VLOOKUP(Tbl_Donnees[[#This Row],[Référence]]&amp;"",Tbl_Catalogue[],7,FALSE)=0,"-",VLOOKUP(Tbl_Donnees[[#This Row],[Référence]]&amp;"",Tbl_Catalogue[],7,FALSE)),"-")</f>
        <v>INCONNU</v>
      </c>
      <c r="L74" s="5" t="str">
        <f>IFERROR(IF(VLOOKUP(Tbl_Donnees[[#This Row],[Référence]]&amp;"",Tbl_Catalogue[],10,FALSE)=0,"-",VLOOKUP(Tbl_Donnees[[#This Row],[Référence]]&amp;"",Tbl_Catalogue[],10,FALSE)),"-")</f>
        <v>-</v>
      </c>
      <c r="M74" s="2" t="str">
        <f>IFERROR(IF(VLOOKUP(Tbl_Donnees[[#This Row],[Référence]]&amp;"",Tbl_Catalogue[],8,FALSE)=0,"-",VLOOKUP(Tbl_Donnees[[#This Row],[Référence]]&amp;"",Tbl_Catalogue[],8,FALSE)),"-")</f>
        <v>-</v>
      </c>
      <c r="N74" s="5" t="str">
        <f>IFERROR(IF(VLOOKUP(Tbl_Donnees[[#This Row],[Référence]]&amp;"",Tbl_Catalogue[],9,FALSE)=0,"-",VLOOKUP(Tbl_Donnees[[#This Row],[Référence]]&amp;"",Tbl_Catalogue[],9,FALSE)),"-")</f>
        <v>-</v>
      </c>
      <c r="O74" s="5" t="str">
        <f>IFERROR(IF(VLOOKUP(Tbl_Donnees[[#This Row],[Référence]]&amp;"",Tbl_Catalogue[],11,FALSE)=0,"-",VLOOKUP(Tbl_Donnees[[#This Row],[Référence]]&amp;"",Tbl_Catalogue[],11,FALSE)),"-")</f>
        <v>-</v>
      </c>
      <c r="P74" s="2" t="str">
        <f>IFERROR(IF(VLOOKUP(Tbl_Donnees[[#This Row],[Référence]]&amp;"",Tbl_Catalogue[],12,FALSE)=0,"-",VLOOKUP(Tbl_Donnees[[#This Row],[Référence]]&amp;"",Tbl_Catalogue[],12,FALSE)),"-")</f>
        <v>-</v>
      </c>
      <c r="Q74" s="13" t="str">
        <f>IFERROR(IF(VLOOKUP(Tbl_Donnees[[#This Row],[Référence]]&amp;"",Tbl_Catalogue[],13,FALSE)=0,"-",VLOOKUP(Tbl_Donnees[[#This Row],[Référence]]&amp;"",Tbl_Catalogue[],13,FALSE)),"-")</f>
        <v>-</v>
      </c>
      <c r="R74" s="5"/>
    </row>
    <row r="75" spans="1:18" x14ac:dyDescent="0.2">
      <c r="A75" s="2" t="s">
        <v>3</v>
      </c>
      <c r="B75" s="5" t="s">
        <v>620</v>
      </c>
      <c r="C75" s="5" t="s">
        <v>140</v>
      </c>
      <c r="D75" s="6" t="str">
        <f>IFERROR(IF(VLOOKUP(Tbl_Donnees[[#This Row],[Référence]]&amp;"",Tbl_Catalogue[],3,FALSE)=0,"-",VLOOKUP(Tbl_Donnees[[#This Row],[Référence]]&amp;"",Tbl_Catalogue[],3,FALSE)),"-")</f>
        <v>DISTRIB. 4WE6D62/OFEG24</v>
      </c>
      <c r="E75" s="6">
        <v>1</v>
      </c>
      <c r="F75" s="6" t="str">
        <f>IFERROR(IF(VLOOKUP(Tbl_Donnees[[#This Row],[Référence]]&amp;"",Tbl_Catalogue[],2,FALSE)=0,"-",VLOOKUP(Tbl_Donnees[[#This Row],[Référence]]&amp;"",Tbl_Catalogue[],2,FALSE)),"-")</f>
        <v>BOSCH REXROTH</v>
      </c>
      <c r="G75" s="20" t="s">
        <v>37</v>
      </c>
      <c r="H75" s="6" t="str">
        <f>IFERROR(IF(VLOOKUP(Tbl_Donnees[[#This Row],[Référence]]&amp;"",Tbl_Catalogue[],4,FALSE)=0,"-",VLOOKUP(Tbl_Donnees[[#This Row],[Référence]]&amp;"",Tbl_Catalogue[],4,FALSE)),"-")</f>
        <v>Produit actif</v>
      </c>
      <c r="I75" s="2" t="str">
        <f>IFERROR(IF(VLOOKUP(Tbl_Donnees[[#This Row],[Référence]]&amp;"",Tbl_Catalogue[],5,FALSE)=0,"-",VLOOKUP(Tbl_Donnees[[#This Row],[Référence]]&amp;"",Tbl_Catalogue[],5,FALSE)),"INCONNU")</f>
        <v>ACTIF</v>
      </c>
      <c r="J75" s="3" t="str">
        <f>IFERROR(IF(VLOOKUP(Tbl_Donnees[[#This Row],[Référence]]&amp;"",Tbl_Catalogue[],6,FALSE)=0,"-",VLOOKUP(Tbl_Donnees[[#This Row],[Référence]]&amp;"",Tbl_Catalogue[],6,FALSE)),"-")</f>
        <v>DISTRIBUTEUR R900567512 | R900567512 | Bosch Rexroth</v>
      </c>
      <c r="K75" s="2" t="str">
        <f>IFERROR(IF(VLOOKUP(Tbl_Donnees[[#This Row],[Référence]]&amp;"",Tbl_Catalogue[],7,FALSE)=0,"-",VLOOKUP(Tbl_Donnees[[#This Row],[Référence]]&amp;"",Tbl_Catalogue[],7,FALSE)),"-")</f>
        <v>INCONNU</v>
      </c>
      <c r="L75" s="5" t="str">
        <f>IFERROR(IF(VLOOKUP(Tbl_Donnees[[#This Row],[Référence]]&amp;"",Tbl_Catalogue[],10,FALSE)=0,"-",VLOOKUP(Tbl_Donnees[[#This Row],[Référence]]&amp;"",Tbl_Catalogue[],10,FALSE)),"-")</f>
        <v>-</v>
      </c>
      <c r="M75" s="2" t="str">
        <f>IFERROR(IF(VLOOKUP(Tbl_Donnees[[#This Row],[Référence]]&amp;"",Tbl_Catalogue[],8,FALSE)=0,"-",VLOOKUP(Tbl_Donnees[[#This Row],[Référence]]&amp;"",Tbl_Catalogue[],8,FALSE)),"-")</f>
        <v>-</v>
      </c>
      <c r="N75" s="5" t="str">
        <f>IFERROR(IF(VLOOKUP(Tbl_Donnees[[#This Row],[Référence]]&amp;"",Tbl_Catalogue[],9,FALSE)=0,"-",VLOOKUP(Tbl_Donnees[[#This Row],[Référence]]&amp;"",Tbl_Catalogue[],9,FALSE)),"-")</f>
        <v>-</v>
      </c>
      <c r="O75" s="5" t="str">
        <f>IFERROR(IF(VLOOKUP(Tbl_Donnees[[#This Row],[Référence]]&amp;"",Tbl_Catalogue[],11,FALSE)=0,"-",VLOOKUP(Tbl_Donnees[[#This Row],[Référence]]&amp;"",Tbl_Catalogue[],11,FALSE)),"-")</f>
        <v>-</v>
      </c>
      <c r="P75" s="2" t="str">
        <f>IFERROR(IF(VLOOKUP(Tbl_Donnees[[#This Row],[Référence]]&amp;"",Tbl_Catalogue[],12,FALSE)=0,"-",VLOOKUP(Tbl_Donnees[[#This Row],[Référence]]&amp;"",Tbl_Catalogue[],12,FALSE)),"-")</f>
        <v>-</v>
      </c>
      <c r="Q75" s="13" t="str">
        <f>IFERROR(IF(VLOOKUP(Tbl_Donnees[[#This Row],[Référence]]&amp;"",Tbl_Catalogue[],13,FALSE)=0,"-",VLOOKUP(Tbl_Donnees[[#This Row],[Référence]]&amp;"",Tbl_Catalogue[],13,FALSE)),"-")</f>
        <v>-</v>
      </c>
      <c r="R75" s="2"/>
    </row>
    <row r="76" spans="1:18" x14ac:dyDescent="0.2">
      <c r="A76" s="2" t="s">
        <v>3</v>
      </c>
      <c r="B76" s="5" t="s">
        <v>620</v>
      </c>
      <c r="C76" s="5" t="s">
        <v>140</v>
      </c>
      <c r="D76" s="6" t="str">
        <f>IFERROR(IF(VLOOKUP(Tbl_Donnees[[#This Row],[Référence]]&amp;"",Tbl_Catalogue[],3,FALSE)=0,"-",VLOOKUP(Tbl_Donnees[[#This Row],[Référence]]&amp;"",Tbl_Catalogue[],3,FALSE)),"-")</f>
        <v>DISTRIB. ELECT.</v>
      </c>
      <c r="E76" s="6">
        <v>2</v>
      </c>
      <c r="F76" s="6" t="str">
        <f>IFERROR(IF(VLOOKUP(Tbl_Donnees[[#This Row],[Référence]]&amp;"",Tbl_Catalogue[],2,FALSE)=0,"-",VLOOKUP(Tbl_Donnees[[#This Row],[Référence]]&amp;"",Tbl_Catalogue[],2,FALSE)),"-")</f>
        <v>BOSCH</v>
      </c>
      <c r="G76" s="20" t="s">
        <v>124</v>
      </c>
      <c r="H76" s="6" t="str">
        <f>IFERROR(IF(VLOOKUP(Tbl_Donnees[[#This Row],[Référence]]&amp;"",Tbl_Catalogue[],4,FALSE)=0,"-",VLOOKUP(Tbl_Donnees[[#This Row],[Référence]]&amp;"",Tbl_Catalogue[],4,FALSE)),"-")</f>
        <v>Obsolète</v>
      </c>
      <c r="I76" s="2" t="str">
        <f>IFERROR(IF(VLOOKUP(Tbl_Donnees[[#This Row],[Référence]]&amp;"",Tbl_Catalogue[],5,FALSE)=0,"-",VLOOKUP(Tbl_Donnees[[#This Row],[Référence]]&amp;"",Tbl_Catalogue[],5,FALSE)),"INCONNU")</f>
        <v>INCONNU</v>
      </c>
      <c r="J76" s="3" t="str">
        <f>IFERROR(IF(VLOOKUP(Tbl_Donnees[[#This Row],[Référence]]&amp;"",Tbl_Catalogue[],6,FALSE)=0,"-",VLOOKUP(Tbl_Donnees[[#This Row],[Référence]]&amp;"",Tbl_Catalogue[],6,FALSE)),"-")</f>
        <v>-</v>
      </c>
      <c r="K76" s="2" t="str">
        <f>IFERROR(IF(VLOOKUP(Tbl_Donnees[[#This Row],[Référence]]&amp;"",Tbl_Catalogue[],7,FALSE)=0,"-",VLOOKUP(Tbl_Donnees[[#This Row],[Référence]]&amp;"",Tbl_Catalogue[],7,FALSE)),"-")</f>
        <v>INCONNU</v>
      </c>
      <c r="L76" s="5" t="str">
        <f>IFERROR(IF(VLOOKUP(Tbl_Donnees[[#This Row],[Référence]]&amp;"",Tbl_Catalogue[],10,FALSE)=0,"-",VLOOKUP(Tbl_Donnees[[#This Row],[Référence]]&amp;"",Tbl_Catalogue[],10,FALSE)),"-")</f>
        <v>-</v>
      </c>
      <c r="M76" s="2" t="str">
        <f>IFERROR(IF(VLOOKUP(Tbl_Donnees[[#This Row],[Référence]]&amp;"",Tbl_Catalogue[],8,FALSE)=0,"-",VLOOKUP(Tbl_Donnees[[#This Row],[Référence]]&amp;"",Tbl_Catalogue[],8,FALSE)),"-")</f>
        <v>-</v>
      </c>
      <c r="N76" s="5" t="str">
        <f>IFERROR(IF(VLOOKUP(Tbl_Donnees[[#This Row],[Référence]]&amp;"",Tbl_Catalogue[],9,FALSE)=0,"-",VLOOKUP(Tbl_Donnees[[#This Row],[Référence]]&amp;"",Tbl_Catalogue[],9,FALSE)),"-")</f>
        <v>-</v>
      </c>
      <c r="O76" s="5" t="str">
        <f>IFERROR(IF(VLOOKUP(Tbl_Donnees[[#This Row],[Référence]]&amp;"",Tbl_Catalogue[],11,FALSE)=0,"-",VLOOKUP(Tbl_Donnees[[#This Row],[Référence]]&amp;"",Tbl_Catalogue[],11,FALSE)),"-")</f>
        <v>-</v>
      </c>
      <c r="P76" s="2" t="str">
        <f>IFERROR(IF(VLOOKUP(Tbl_Donnees[[#This Row],[Référence]]&amp;"",Tbl_Catalogue[],12,FALSE)=0,"-",VLOOKUP(Tbl_Donnees[[#This Row],[Référence]]&amp;"",Tbl_Catalogue[],12,FALSE)),"-")</f>
        <v>-</v>
      </c>
      <c r="Q76" s="13" t="str">
        <f>IFERROR(IF(VLOOKUP(Tbl_Donnees[[#This Row],[Référence]]&amp;"",Tbl_Catalogue[],13,FALSE)=0,"-",VLOOKUP(Tbl_Donnees[[#This Row],[Référence]]&amp;"",Tbl_Catalogue[],13,FALSE)),"-")</f>
        <v>-</v>
      </c>
      <c r="R76" s="5"/>
    </row>
    <row r="77" spans="1:18" x14ac:dyDescent="0.2">
      <c r="A77" s="2" t="s">
        <v>3</v>
      </c>
      <c r="B77" s="5" t="s">
        <v>620</v>
      </c>
      <c r="C77" s="5" t="s">
        <v>140</v>
      </c>
      <c r="D77" s="6" t="str">
        <f>IFERROR(IF(VLOOKUP(Tbl_Donnees[[#This Row],[Référence]]&amp;"",Tbl_Catalogue[],3,FALSE)=0,"-",VLOOKUP(Tbl_Donnees[[#This Row],[Référence]]&amp;"",Tbl_Catalogue[],3,FALSE)),"-")</f>
        <v>DISTRIB. ELECT. DHU</v>
      </c>
      <c r="E77" s="6">
        <v>2</v>
      </c>
      <c r="F77" s="6" t="str">
        <f>IFERROR(IF(VLOOKUP(Tbl_Donnees[[#This Row],[Référence]]&amp;"",Tbl_Catalogue[],2,FALSE)=0,"-",VLOOKUP(Tbl_Donnees[[#This Row],[Référence]]&amp;"",Tbl_Catalogue[],2,FALSE)),"-")</f>
        <v>ATOS</v>
      </c>
      <c r="G77" s="20" t="s">
        <v>36</v>
      </c>
      <c r="H77" s="6" t="str">
        <f>IFERROR(IF(VLOOKUP(Tbl_Donnees[[#This Row],[Référence]]&amp;"",Tbl_Catalogue[],4,FALSE)=0,"-",VLOOKUP(Tbl_Donnees[[#This Row],[Référence]]&amp;"",Tbl_Catalogue[],4,FALSE)),"-")</f>
        <v>-</v>
      </c>
      <c r="I77" s="2" t="str">
        <f>IFERROR(IF(VLOOKUP(Tbl_Donnees[[#This Row],[Référence]]&amp;"",Tbl_Catalogue[],5,FALSE)=0,"-",VLOOKUP(Tbl_Donnees[[#This Row],[Référence]]&amp;"",Tbl_Catalogue[],5,FALSE)),"INCONNU")</f>
        <v>INCONNU</v>
      </c>
      <c r="J77" s="3" t="str">
        <f>IFERROR(IF(VLOOKUP(Tbl_Donnees[[#This Row],[Référence]]&amp;"",Tbl_Catalogue[],6,FALSE)=0,"-",VLOOKUP(Tbl_Donnees[[#This Row],[Référence]]&amp;"",Tbl_Catalogue[],6,FALSE)),"-")</f>
        <v>-</v>
      </c>
      <c r="K77" s="2" t="str">
        <f>IFERROR(IF(VLOOKUP(Tbl_Donnees[[#This Row],[Référence]]&amp;"",Tbl_Catalogue[],7,FALSE)=0,"-",VLOOKUP(Tbl_Donnees[[#This Row],[Référence]]&amp;"",Tbl_Catalogue[],7,FALSE)),"-")</f>
        <v>INCONNU</v>
      </c>
      <c r="L77" s="5" t="str">
        <f>IFERROR(IF(VLOOKUP(Tbl_Donnees[[#This Row],[Référence]]&amp;"",Tbl_Catalogue[],10,FALSE)=0,"-",VLOOKUP(Tbl_Donnees[[#This Row],[Référence]]&amp;"",Tbl_Catalogue[],10,FALSE)),"-")</f>
        <v>-</v>
      </c>
      <c r="M77" s="2" t="str">
        <f>IFERROR(IF(VLOOKUP(Tbl_Donnees[[#This Row],[Référence]]&amp;"",Tbl_Catalogue[],8,FALSE)=0,"-",VLOOKUP(Tbl_Donnees[[#This Row],[Référence]]&amp;"",Tbl_Catalogue[],8,FALSE)),"-")</f>
        <v>-</v>
      </c>
      <c r="N77" s="5" t="str">
        <f>IFERROR(IF(VLOOKUP(Tbl_Donnees[[#This Row],[Référence]]&amp;"",Tbl_Catalogue[],9,FALSE)=0,"-",VLOOKUP(Tbl_Donnees[[#This Row],[Référence]]&amp;"",Tbl_Catalogue[],9,FALSE)),"-")</f>
        <v>-</v>
      </c>
      <c r="O77" s="5" t="str">
        <f>IFERROR(IF(VLOOKUP(Tbl_Donnees[[#This Row],[Référence]]&amp;"",Tbl_Catalogue[],11,FALSE)=0,"-",VLOOKUP(Tbl_Donnees[[#This Row],[Référence]]&amp;"",Tbl_Catalogue[],11,FALSE)),"-")</f>
        <v>-</v>
      </c>
      <c r="P77" s="2" t="str">
        <f>IFERROR(IF(VLOOKUP(Tbl_Donnees[[#This Row],[Référence]]&amp;"",Tbl_Catalogue[],12,FALSE)=0,"-",VLOOKUP(Tbl_Donnees[[#This Row],[Référence]]&amp;"",Tbl_Catalogue[],12,FALSE)),"-")</f>
        <v>-</v>
      </c>
      <c r="Q77" s="13" t="str">
        <f>IFERROR(IF(VLOOKUP(Tbl_Donnees[[#This Row],[Référence]]&amp;"",Tbl_Catalogue[],13,FALSE)=0,"-",VLOOKUP(Tbl_Donnees[[#This Row],[Référence]]&amp;"",Tbl_Catalogue[],13,FALSE)),"-")</f>
        <v>-</v>
      </c>
      <c r="R77" s="5"/>
    </row>
    <row r="78" spans="1:18" x14ac:dyDescent="0.2">
      <c r="A78" s="2" t="s">
        <v>3</v>
      </c>
      <c r="B78" s="5" t="s">
        <v>620</v>
      </c>
      <c r="C78" s="5" t="s">
        <v>140</v>
      </c>
      <c r="D78" s="6" t="str">
        <f>IFERROR(IF(VLOOKUP(Tbl_Donnees[[#This Row],[Référence]]&amp;"",Tbl_Catalogue[],3,FALSE)=0,"-",VLOOKUP(Tbl_Donnees[[#This Row],[Référence]]&amp;"",Tbl_Catalogue[],3,FALSE)),"-")</f>
        <v>DISTRIB. ELECT. DHU</v>
      </c>
      <c r="E78" s="6">
        <v>1</v>
      </c>
      <c r="F78" s="6" t="str">
        <f>IFERROR(IF(VLOOKUP(Tbl_Donnees[[#This Row],[Référence]]&amp;"",Tbl_Catalogue[],2,FALSE)=0,"-",VLOOKUP(Tbl_Donnees[[#This Row],[Référence]]&amp;"",Tbl_Catalogue[],2,FALSE)),"-")</f>
        <v>ATOS</v>
      </c>
      <c r="G78" s="20" t="s">
        <v>116</v>
      </c>
      <c r="H78" s="6" t="str">
        <f>IFERROR(IF(VLOOKUP(Tbl_Donnees[[#This Row],[Référence]]&amp;"",Tbl_Catalogue[],4,FALSE)=0,"-",VLOOKUP(Tbl_Donnees[[#This Row],[Référence]]&amp;"",Tbl_Catalogue[],4,FALSE)),"-")</f>
        <v>-</v>
      </c>
      <c r="I78" s="2" t="str">
        <f>IFERROR(IF(VLOOKUP(Tbl_Donnees[[#This Row],[Référence]]&amp;"",Tbl_Catalogue[],5,FALSE)=0,"-",VLOOKUP(Tbl_Donnees[[#This Row],[Référence]]&amp;"",Tbl_Catalogue[],5,FALSE)),"INCONNU")</f>
        <v>INCONNU</v>
      </c>
      <c r="J78" s="3" t="str">
        <f>IFERROR(IF(VLOOKUP(Tbl_Donnees[[#This Row],[Référence]]&amp;"",Tbl_Catalogue[],6,FALSE)=0,"-",VLOOKUP(Tbl_Donnees[[#This Row],[Référence]]&amp;"",Tbl_Catalogue[],6,FALSE)),"-")</f>
        <v>-</v>
      </c>
      <c r="K78" s="2" t="str">
        <f>IFERROR(IF(VLOOKUP(Tbl_Donnees[[#This Row],[Référence]]&amp;"",Tbl_Catalogue[],7,FALSE)=0,"-",VLOOKUP(Tbl_Donnees[[#This Row],[Référence]]&amp;"",Tbl_Catalogue[],7,FALSE)),"-")</f>
        <v>INCONNU</v>
      </c>
      <c r="L78" s="5" t="str">
        <f>IFERROR(IF(VLOOKUP(Tbl_Donnees[[#This Row],[Référence]]&amp;"",Tbl_Catalogue[],10,FALSE)=0,"-",VLOOKUP(Tbl_Donnees[[#This Row],[Référence]]&amp;"",Tbl_Catalogue[],10,FALSE)),"-")</f>
        <v>-</v>
      </c>
      <c r="M78" s="2" t="str">
        <f>IFERROR(IF(VLOOKUP(Tbl_Donnees[[#This Row],[Référence]]&amp;"",Tbl_Catalogue[],8,FALSE)=0,"-",VLOOKUP(Tbl_Donnees[[#This Row],[Référence]]&amp;"",Tbl_Catalogue[],8,FALSE)),"-")</f>
        <v>-</v>
      </c>
      <c r="N78" s="5" t="str">
        <f>IFERROR(IF(VLOOKUP(Tbl_Donnees[[#This Row],[Référence]]&amp;"",Tbl_Catalogue[],9,FALSE)=0,"-",VLOOKUP(Tbl_Donnees[[#This Row],[Référence]]&amp;"",Tbl_Catalogue[],9,FALSE)),"-")</f>
        <v>-</v>
      </c>
      <c r="O78" s="5" t="str">
        <f>IFERROR(IF(VLOOKUP(Tbl_Donnees[[#This Row],[Référence]]&amp;"",Tbl_Catalogue[],11,FALSE)=0,"-",VLOOKUP(Tbl_Donnees[[#This Row],[Référence]]&amp;"",Tbl_Catalogue[],11,FALSE)),"-")</f>
        <v>-</v>
      </c>
      <c r="P78" s="2" t="str">
        <f>IFERROR(IF(VLOOKUP(Tbl_Donnees[[#This Row],[Référence]]&amp;"",Tbl_Catalogue[],12,FALSE)=0,"-",VLOOKUP(Tbl_Donnees[[#This Row],[Référence]]&amp;"",Tbl_Catalogue[],12,FALSE)),"-")</f>
        <v>-</v>
      </c>
      <c r="Q78" s="13" t="str">
        <f>IFERROR(IF(VLOOKUP(Tbl_Donnees[[#This Row],[Référence]]&amp;"",Tbl_Catalogue[],13,FALSE)=0,"-",VLOOKUP(Tbl_Donnees[[#This Row],[Référence]]&amp;"",Tbl_Catalogue[],13,FALSE)),"-")</f>
        <v>-</v>
      </c>
      <c r="R78" s="2"/>
    </row>
    <row r="79" spans="1:18" x14ac:dyDescent="0.2">
      <c r="A79" s="2" t="s">
        <v>356</v>
      </c>
      <c r="B79" s="5" t="s">
        <v>41</v>
      </c>
      <c r="C79" s="5" t="s">
        <v>60</v>
      </c>
      <c r="D79" s="6" t="str">
        <f>IFERROR(IF(VLOOKUP(Tbl_Donnees[[#This Row],[Référence]]&amp;"",Tbl_Catalogue[],3,FALSE)=0,"-",VLOOKUP(Tbl_Donnees[[#This Row],[Référence]]&amp;"",Tbl_Catalogue[],3,FALSE)),"-")</f>
        <v>MOD. COMPTAGE FM350</v>
      </c>
      <c r="E79" s="6">
        <v>1</v>
      </c>
      <c r="F79" s="6" t="str">
        <f>IFERROR(IF(VLOOKUP(Tbl_Donnees[[#This Row],[Référence]]&amp;"",Tbl_Catalogue[],2,FALSE)=0,"-",VLOOKUP(Tbl_Donnees[[#This Row],[Référence]]&amp;"",Tbl_Catalogue[],2,FALSE)),"-")</f>
        <v>SIEMENS</v>
      </c>
      <c r="G79" s="20" t="s">
        <v>273</v>
      </c>
      <c r="H79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79" s="2" t="str">
        <f>IFERROR(IF(VLOOKUP(Tbl_Donnees[[#This Row],[Référence]]&amp;"",Tbl_Catalogue[],5,FALSE)=0,"-",VLOOKUP(Tbl_Donnees[[#This Row],[Référence]]&amp;"",Tbl_Catalogue[],5,FALSE)),"INCONNU")</f>
        <v>RECHANGE</v>
      </c>
      <c r="J79" s="3" t="str">
        <f>IFERROR(IF(VLOOKUP(Tbl_Donnees[[#This Row],[Référence]]&amp;"",Tbl_Catalogue[],6,FALSE)=0,"-",VLOOKUP(Tbl_Donnees[[#This Row],[Référence]]&amp;"",Tbl_Catalogue[],6,FALSE)),"-")</f>
        <v>6ES7350-1AH03-0AE0 - Siemens SiePortal</v>
      </c>
      <c r="K79" s="2" t="str">
        <f>IFERROR(IF(VLOOKUP(Tbl_Donnees[[#This Row],[Référence]]&amp;"",Tbl_Catalogue[],7,FALSE)=0,"-",VLOOKUP(Tbl_Donnees[[#This Row],[Référence]]&amp;"",Tbl_Catalogue[],7,FALSE)),"-")</f>
        <v>INCONNU</v>
      </c>
      <c r="L79" s="5" t="str">
        <f>IFERROR(IF(VLOOKUP(Tbl_Donnees[[#This Row],[Référence]]&amp;"",Tbl_Catalogue[],10,FALSE)=0,"-",VLOOKUP(Tbl_Donnees[[#This Row],[Référence]]&amp;"",Tbl_Catalogue[],10,FALSE)),"-")</f>
        <v>-</v>
      </c>
      <c r="M79" s="2" t="str">
        <f>IFERROR(IF(VLOOKUP(Tbl_Donnees[[#This Row],[Référence]]&amp;"",Tbl_Catalogue[],8,FALSE)=0,"-",VLOOKUP(Tbl_Donnees[[#This Row],[Référence]]&amp;"",Tbl_Catalogue[],8,FALSE)),"-")</f>
        <v>-</v>
      </c>
      <c r="N79" s="5" t="str">
        <f>IFERROR(IF(VLOOKUP(Tbl_Donnees[[#This Row],[Référence]]&amp;"",Tbl_Catalogue[],9,FALSE)=0,"-",VLOOKUP(Tbl_Donnees[[#This Row],[Référence]]&amp;"",Tbl_Catalogue[],9,FALSE)),"-")</f>
        <v>-</v>
      </c>
      <c r="O79" s="5" t="str">
        <f>IFERROR(IF(VLOOKUP(Tbl_Donnees[[#This Row],[Référence]]&amp;"",Tbl_Catalogue[],11,FALSE)=0,"-",VLOOKUP(Tbl_Donnees[[#This Row],[Référence]]&amp;"",Tbl_Catalogue[],11,FALSE)),"-")</f>
        <v>-</v>
      </c>
      <c r="P79" s="2" t="str">
        <f>IFERROR(IF(VLOOKUP(Tbl_Donnees[[#This Row],[Référence]]&amp;"",Tbl_Catalogue[],12,FALSE)=0,"-",VLOOKUP(Tbl_Donnees[[#This Row],[Référence]]&amp;"",Tbl_Catalogue[],12,FALSE)),"-")</f>
        <v>-</v>
      </c>
      <c r="Q79" s="13" t="str">
        <f>IFERROR(IF(VLOOKUP(Tbl_Donnees[[#This Row],[Référence]]&amp;"",Tbl_Catalogue[],13,FALSE)=0,"-",VLOOKUP(Tbl_Donnees[[#This Row],[Référence]]&amp;"",Tbl_Catalogue[],13,FALSE)),"-")</f>
        <v>-</v>
      </c>
      <c r="R79" s="2"/>
    </row>
    <row r="80" spans="1:18" x14ac:dyDescent="0.2">
      <c r="A80" s="2" t="s">
        <v>356</v>
      </c>
      <c r="B80" s="5" t="s">
        <v>41</v>
      </c>
      <c r="C80" s="5" t="s">
        <v>60</v>
      </c>
      <c r="D80" s="6" t="str">
        <f>IFERROR(IF(VLOOKUP(Tbl_Donnees[[#This Row],[Référence]]&amp;"",Tbl_Catalogue[],3,FALSE)=0,"-",VLOOKUP(Tbl_Donnees[[#This Row],[Référence]]&amp;"",Tbl_Catalogue[],3,FALSE)),"-")</f>
        <v xml:space="preserve">MOD. 16DI/DO 24VCC SM323 </v>
      </c>
      <c r="E80" s="6">
        <v>3</v>
      </c>
      <c r="F80" s="6" t="str">
        <f>IFERROR(IF(VLOOKUP(Tbl_Donnees[[#This Row],[Référence]]&amp;"",Tbl_Catalogue[],2,FALSE)=0,"-",VLOOKUP(Tbl_Donnees[[#This Row],[Référence]]&amp;"",Tbl_Catalogue[],2,FALSE)),"-")</f>
        <v>SIEMENS</v>
      </c>
      <c r="G80" s="20" t="s">
        <v>43</v>
      </c>
      <c r="H80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80" s="2" t="str">
        <f>IFERROR(IF(VLOOKUP(Tbl_Donnees[[#This Row],[Référence]]&amp;"",Tbl_Catalogue[],5,FALSE)=0,"-",VLOOKUP(Tbl_Donnees[[#This Row],[Référence]]&amp;"",Tbl_Catalogue[],5,FALSE)),"INCONNU")</f>
        <v>RECHANGE</v>
      </c>
      <c r="J8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https://sieportal.siemens.com/fr-fr/products-services/detail/6ES7323-1BL00-0AA0?tree=CatalogTree</v>
      </c>
      <c r="K80" s="2" t="str">
        <f>IFERROR(IF(VLOOKUP(Tbl_Donnees[[#This Row],[Référence]]&amp;"",Tbl_Catalogue[],7,FALSE)=0,"-",VLOOKUP(Tbl_Donnees[[#This Row],[Référence]]&amp;"",Tbl_Catalogue[],7,FALSE)),"-")</f>
        <v>INCONNU</v>
      </c>
      <c r="L80" s="5" t="str">
        <f>IFERROR(IF(VLOOKUP(Tbl_Donnees[[#This Row],[Référence]]&amp;"",Tbl_Catalogue[],10,FALSE)=0,"-",VLOOKUP(Tbl_Donnees[[#This Row],[Référence]]&amp;"",Tbl_Catalogue[],10,FALSE)),"-")</f>
        <v>-</v>
      </c>
      <c r="M80" s="2" t="str">
        <f>IFERROR(IF(VLOOKUP(Tbl_Donnees[[#This Row],[Référence]]&amp;"",Tbl_Catalogue[],8,FALSE)=0,"-",VLOOKUP(Tbl_Donnees[[#This Row],[Référence]]&amp;"",Tbl_Catalogue[],8,FALSE)),"-")</f>
        <v>-</v>
      </c>
      <c r="N80" s="5" t="str">
        <f>IFERROR(IF(VLOOKUP(Tbl_Donnees[[#This Row],[Référence]]&amp;"",Tbl_Catalogue[],9,FALSE)=0,"-",VLOOKUP(Tbl_Donnees[[#This Row],[Référence]]&amp;"",Tbl_Catalogue[],9,FALSE)),"-")</f>
        <v>-</v>
      </c>
      <c r="O80" s="5" t="str">
        <f>IFERROR(IF(VLOOKUP(Tbl_Donnees[[#This Row],[Référence]]&amp;"",Tbl_Catalogue[],11,FALSE)=0,"-",VLOOKUP(Tbl_Donnees[[#This Row],[Référence]]&amp;"",Tbl_Catalogue[],11,FALSE)),"-")</f>
        <v>-</v>
      </c>
      <c r="P80" s="2" t="str">
        <f>IFERROR(IF(VLOOKUP(Tbl_Donnees[[#This Row],[Référence]]&amp;"",Tbl_Catalogue[],12,FALSE)=0,"-",VLOOKUP(Tbl_Donnees[[#This Row],[Référence]]&amp;"",Tbl_Catalogue[],12,FALSE)),"-")</f>
        <v>-</v>
      </c>
      <c r="Q80" s="13" t="str">
        <f>IFERROR(IF(VLOOKUP(Tbl_Donnees[[#This Row],[Référence]]&amp;"",Tbl_Catalogue[],13,FALSE)=0,"-",VLOOKUP(Tbl_Donnees[[#This Row],[Référence]]&amp;"",Tbl_Catalogue[],13,FALSE)),"-")</f>
        <v>-</v>
      </c>
      <c r="R80" s="5"/>
    </row>
    <row r="81" spans="1:18" x14ac:dyDescent="0.2">
      <c r="A81" s="2" t="s">
        <v>356</v>
      </c>
      <c r="B81" s="5" t="s">
        <v>41</v>
      </c>
      <c r="C81" s="5" t="s">
        <v>60</v>
      </c>
      <c r="D81" s="6" t="str">
        <f>IFERROR(IF(VLOOKUP(Tbl_Donnees[[#This Row],[Référence]]&amp;"",Tbl_Catalogue[],3,FALSE)=0,"-",VLOOKUP(Tbl_Donnees[[#This Row],[Référence]]&amp;"",Tbl_Catalogue[],3,FALSE)),"-")</f>
        <v>CONTACTEUR PUISSANCE</v>
      </c>
      <c r="E81" s="6">
        <v>1</v>
      </c>
      <c r="F81" s="6" t="str">
        <f>IFERROR(IF(VLOOKUP(Tbl_Donnees[[#This Row],[Référence]]&amp;"",Tbl_Catalogue[],2,FALSE)=0,"-",VLOOKUP(Tbl_Donnees[[#This Row],[Référence]]&amp;"",Tbl_Catalogue[],2,FALSE)),"-")</f>
        <v>SIEMENS</v>
      </c>
      <c r="G81" s="20" t="s">
        <v>54</v>
      </c>
      <c r="H81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81" s="2" t="str">
        <f>IFERROR(IF(VLOOKUP(Tbl_Donnees[[#This Row],[Référence]]&amp;"",Tbl_Catalogue[],5,FALSE)=0,"-",VLOOKUP(Tbl_Donnees[[#This Row],[Référence]]&amp;"",Tbl_Catalogue[],5,FALSE)),"INCONNU")</f>
        <v>OBSOLETE</v>
      </c>
      <c r="J8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https://sieportal.siemens.com/fr-fr/products-services/detail/3rt1016-1bb41?tree=CatalogTree</v>
      </c>
      <c r="K81" s="2" t="str">
        <f>IFERROR(IF(VLOOKUP(Tbl_Donnees[[#This Row],[Référence]]&amp;"",Tbl_Catalogue[],7,FALSE)=0,"-",VLOOKUP(Tbl_Donnees[[#This Row],[Référence]]&amp;"",Tbl_Catalogue[],7,FALSE)),"-")</f>
        <v>OUI</v>
      </c>
      <c r="L81" s="5" t="str">
        <f>IFERROR(IF(VLOOKUP(Tbl_Donnees[[#This Row],[Référence]]&amp;"",Tbl_Catalogue[],10,FALSE)=0,"-",VLOOKUP(Tbl_Donnees[[#This Row],[Référence]]&amp;"",Tbl_Catalogue[],10,FALSE)),"-")</f>
        <v>-</v>
      </c>
      <c r="M81" s="2" t="str">
        <f>IFERROR(IF(VLOOKUP(Tbl_Donnees[[#This Row],[Référence]]&amp;"",Tbl_Catalogue[],8,FALSE)=0,"-",VLOOKUP(Tbl_Donnees[[#This Row],[Référence]]&amp;"",Tbl_Catalogue[],8,FALSE)),"-")</f>
        <v>3RT2016-1BB41</v>
      </c>
      <c r="N81" s="5" t="str">
        <f>IFERROR(IF(VLOOKUP(Tbl_Donnees[[#This Row],[Référence]]&amp;"",Tbl_Catalogue[],9,FALSE)=0,"-",VLOOKUP(Tbl_Donnees[[#This Row],[Référence]]&amp;"",Tbl_Catalogue[],9,FALSE)),"-")</f>
        <v>SIEMENS</v>
      </c>
      <c r="O81" s="5" t="str">
        <f>IFERROR(IF(VLOOKUP(Tbl_Donnees[[#This Row],[Référence]]&amp;"",Tbl_Catalogue[],11,FALSE)=0,"-",VLOOKUP(Tbl_Donnees[[#This Row],[Référence]]&amp;"",Tbl_Catalogue[],11,FALSE)),"-")</f>
        <v>-</v>
      </c>
      <c r="P81" s="2" t="str">
        <f>IFERROR(IF(VLOOKUP(Tbl_Donnees[[#This Row],[Référence]]&amp;"",Tbl_Catalogue[],12,FALSE)=0,"-",VLOOKUP(Tbl_Donnees[[#This Row],[Référence]]&amp;"",Tbl_Catalogue[],12,FALSE)),"-")</f>
        <v>ACTIF</v>
      </c>
      <c r="Q81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https://sieportal.siemens.com/fr-fr/products-services/detail/3RT2016-1BB41?tree=CatalogTree</v>
      </c>
      <c r="R81" s="2"/>
    </row>
    <row r="82" spans="1:18" x14ac:dyDescent="0.2">
      <c r="A82" s="2" t="s">
        <v>356</v>
      </c>
      <c r="B82" s="5" t="s">
        <v>41</v>
      </c>
      <c r="C82" s="5" t="s">
        <v>60</v>
      </c>
      <c r="D82" s="6" t="str">
        <f>IFERROR(IF(VLOOKUP(Tbl_Donnees[[#This Row],[Référence]]&amp;"",Tbl_Catalogue[],3,FALSE)=0,"-",VLOOKUP(Tbl_Donnees[[#This Row],[Référence]]&amp;"",Tbl_Catalogue[],3,FALSE)),"-")</f>
        <v>DISJ. MOTEUR SIRIUS 3R</v>
      </c>
      <c r="E82" s="6">
        <v>1</v>
      </c>
      <c r="F82" s="6" t="str">
        <f>IFERROR(IF(VLOOKUP(Tbl_Donnees[[#This Row],[Référence]]&amp;"",Tbl_Catalogue[],2,FALSE)=0,"-",VLOOKUP(Tbl_Donnees[[#This Row],[Référence]]&amp;"",Tbl_Catalogue[],2,FALSE)),"-")</f>
        <v>SIEMENS</v>
      </c>
      <c r="G82" s="20" t="s">
        <v>53</v>
      </c>
      <c r="H82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82" s="2" t="str">
        <f>IFERROR(IF(VLOOKUP(Tbl_Donnees[[#This Row],[Référence]]&amp;"",Tbl_Catalogue[],5,FALSE)=0,"-",VLOOKUP(Tbl_Donnees[[#This Row],[Référence]]&amp;"",Tbl_Catalogue[],5,FALSE)),"INCONNU")</f>
        <v>OBSOLETE</v>
      </c>
      <c r="J8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https://sieportal.siemens.com/fr-fr/products-services/detail/3RV1021-1GA15?tree=CatalogTree</v>
      </c>
      <c r="K82" s="2" t="str">
        <f>IFERROR(IF(VLOOKUP(Tbl_Donnees[[#This Row],[Référence]]&amp;"",Tbl_Catalogue[],7,FALSE)=0,"-",VLOOKUP(Tbl_Donnees[[#This Row],[Référence]]&amp;"",Tbl_Catalogue[],7,FALSE)),"-")</f>
        <v>OUI</v>
      </c>
      <c r="L82" s="5" t="str">
        <f>IFERROR(IF(VLOOKUP(Tbl_Donnees[[#This Row],[Référence]]&amp;"",Tbl_Catalogue[],10,FALSE)=0,"-",VLOOKUP(Tbl_Donnees[[#This Row],[Référence]]&amp;"",Tbl_Catalogue[],10,FALSE)),"-")</f>
        <v>-</v>
      </c>
      <c r="M82" s="2" t="str">
        <f>IFERROR(IF(VLOOKUP(Tbl_Donnees[[#This Row],[Référence]]&amp;"",Tbl_Catalogue[],8,FALSE)=0,"-",VLOOKUP(Tbl_Donnees[[#This Row],[Référence]]&amp;"",Tbl_Catalogue[],8,FALSE)),"-")</f>
        <v>3RV2011-1GA15</v>
      </c>
      <c r="N82" s="5" t="str">
        <f>IFERROR(IF(VLOOKUP(Tbl_Donnees[[#This Row],[Référence]]&amp;"",Tbl_Catalogue[],9,FALSE)=0,"-",VLOOKUP(Tbl_Donnees[[#This Row],[Référence]]&amp;"",Tbl_Catalogue[],9,FALSE)),"-")</f>
        <v>SIEMENS</v>
      </c>
      <c r="O82" s="5" t="str">
        <f>IFERROR(IF(VLOOKUP(Tbl_Donnees[[#This Row],[Référence]]&amp;"",Tbl_Catalogue[],11,FALSE)=0,"-",VLOOKUP(Tbl_Donnees[[#This Row],[Référence]]&amp;"",Tbl_Catalogue[],11,FALSE)),"-")</f>
        <v>-</v>
      </c>
      <c r="P82" s="2" t="str">
        <f>IFERROR(IF(VLOOKUP(Tbl_Donnees[[#This Row],[Référence]]&amp;"",Tbl_Catalogue[],12,FALSE)=0,"-",VLOOKUP(Tbl_Donnees[[#This Row],[Référence]]&amp;"",Tbl_Catalogue[],12,FALSE)),"-")</f>
        <v>ACTIF</v>
      </c>
      <c r="Q82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82" s="5"/>
    </row>
    <row r="83" spans="1:18" x14ac:dyDescent="0.2">
      <c r="A83" s="2" t="s">
        <v>356</v>
      </c>
      <c r="B83" s="5" t="s">
        <v>41</v>
      </c>
      <c r="C83" s="5" t="s">
        <v>60</v>
      </c>
      <c r="D83" s="6" t="str">
        <f>IFERROR(IF(VLOOKUP(Tbl_Donnees[[#This Row],[Référence]]&amp;"",Tbl_Catalogue[],3,FALSE)=0,"-",VLOOKUP(Tbl_Donnees[[#This Row],[Référence]]&amp;"",Tbl_Catalogue[],3,FALSE)),"-")</f>
        <v>DISJ. MOTEUR SIRIUS 3R</v>
      </c>
      <c r="E83" s="6">
        <v>1</v>
      </c>
      <c r="F83" s="6" t="str">
        <f>IFERROR(IF(VLOOKUP(Tbl_Donnees[[#This Row],[Référence]]&amp;"",Tbl_Catalogue[],2,FALSE)=0,"-",VLOOKUP(Tbl_Donnees[[#This Row],[Référence]]&amp;"",Tbl_Catalogue[],2,FALSE)),"-")</f>
        <v>SIEMENS</v>
      </c>
      <c r="G83" s="20" t="s">
        <v>168</v>
      </c>
      <c r="H83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83" s="2" t="str">
        <f>IFERROR(IF(VLOOKUP(Tbl_Donnees[[#This Row],[Référence]]&amp;"",Tbl_Catalogue[],5,FALSE)=0,"-",VLOOKUP(Tbl_Donnees[[#This Row],[Référence]]&amp;"",Tbl_Catalogue[],5,FALSE)),"INCONNU")</f>
        <v>OBSOLETE</v>
      </c>
      <c r="J8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https://sieportal.siemens.com/fr-fr/products-services/detail/3RV1021-1AA15?tree=CatalogTree</v>
      </c>
      <c r="K83" s="2" t="str">
        <f>IFERROR(IF(VLOOKUP(Tbl_Donnees[[#This Row],[Référence]]&amp;"",Tbl_Catalogue[],7,FALSE)=0,"-",VLOOKUP(Tbl_Donnees[[#This Row],[Référence]]&amp;"",Tbl_Catalogue[],7,FALSE)),"-")</f>
        <v>OUI</v>
      </c>
      <c r="L83" s="5" t="str">
        <f>IFERROR(IF(VLOOKUP(Tbl_Donnees[[#This Row],[Référence]]&amp;"",Tbl_Catalogue[],10,FALSE)=0,"-",VLOOKUP(Tbl_Donnees[[#This Row],[Référence]]&amp;"",Tbl_Catalogue[],10,FALSE)),"-")</f>
        <v>-</v>
      </c>
      <c r="M83" s="2" t="str">
        <f>IFERROR(IF(VLOOKUP(Tbl_Donnees[[#This Row],[Référence]]&amp;"",Tbl_Catalogue[],8,FALSE)=0,"-",VLOOKUP(Tbl_Donnees[[#This Row],[Référence]]&amp;"",Tbl_Catalogue[],8,FALSE)),"-")</f>
        <v>3RV2011-1AA15</v>
      </c>
      <c r="N83" s="5" t="str">
        <f>IFERROR(IF(VLOOKUP(Tbl_Donnees[[#This Row],[Référence]]&amp;"",Tbl_Catalogue[],9,FALSE)=0,"-",VLOOKUP(Tbl_Donnees[[#This Row],[Référence]]&amp;"",Tbl_Catalogue[],9,FALSE)),"-")</f>
        <v>SIEMENS</v>
      </c>
      <c r="O83" s="5" t="str">
        <f>IFERROR(IF(VLOOKUP(Tbl_Donnees[[#This Row],[Référence]]&amp;"",Tbl_Catalogue[],11,FALSE)=0,"-",VLOOKUP(Tbl_Donnees[[#This Row],[Référence]]&amp;"",Tbl_Catalogue[],11,FALSE)),"-")</f>
        <v>-</v>
      </c>
      <c r="P83" s="2" t="str">
        <f>IFERROR(IF(VLOOKUP(Tbl_Donnees[[#This Row],[Référence]]&amp;"",Tbl_Catalogue[],12,FALSE)=0,"-",VLOOKUP(Tbl_Donnees[[#This Row],[Référence]]&amp;"",Tbl_Catalogue[],12,FALSE)),"-")</f>
        <v>ACTIF</v>
      </c>
      <c r="Q83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83" s="2"/>
    </row>
    <row r="84" spans="1:18" x14ac:dyDescent="0.2">
      <c r="A84" s="2" t="s">
        <v>356</v>
      </c>
      <c r="B84" s="5" t="s">
        <v>41</v>
      </c>
      <c r="C84" s="5" t="s">
        <v>60</v>
      </c>
      <c r="D84" s="6" t="str">
        <f>IFERROR(IF(VLOOKUP(Tbl_Donnees[[#This Row],[Référence]]&amp;"",Tbl_Catalogue[],3,FALSE)=0,"-",VLOOKUP(Tbl_Donnees[[#This Row],[Référence]]&amp;"",Tbl_Catalogue[],3,FALSE)),"-")</f>
        <v>DISJ. MODULAIRE 32A 1P</v>
      </c>
      <c r="E84" s="6">
        <v>1</v>
      </c>
      <c r="F84" s="6" t="str">
        <f>IFERROR(IF(VLOOKUP(Tbl_Donnees[[#This Row],[Référence]]&amp;"",Tbl_Catalogue[],2,FALSE)=0,"-",VLOOKUP(Tbl_Donnees[[#This Row],[Référence]]&amp;"",Tbl_Catalogue[],2,FALSE)),"-")</f>
        <v>SIEMENS</v>
      </c>
      <c r="G84" s="20" t="s">
        <v>270</v>
      </c>
      <c r="H84" s="6" t="str">
        <f>IFERROR(IF(VLOOKUP(Tbl_Donnees[[#This Row],[Référence]]&amp;"",Tbl_Catalogue[],4,FALSE)=0,"-",VLOOKUP(Tbl_Donnees[[#This Row],[Référence]]&amp;"",Tbl_Catalogue[],4,FALSE)),"-")</f>
        <v>Fin de vie du produit (01/10/2020)</v>
      </c>
      <c r="I84" s="2" t="str">
        <f>IFERROR(IF(VLOOKUP(Tbl_Donnees[[#This Row],[Référence]]&amp;"",Tbl_Catalogue[],5,FALSE)=0,"-",VLOOKUP(Tbl_Donnees[[#This Row],[Référence]]&amp;"",Tbl_Catalogue[],5,FALSE)),"INCONNU")</f>
        <v>OBSOLETE</v>
      </c>
      <c r="J8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https://sieportal.siemens.com/fr-fr/products-services/detail/5SX2132-7?tree=CatalogTree</v>
      </c>
      <c r="K84" s="2" t="str">
        <f>IFERROR(IF(VLOOKUP(Tbl_Donnees[[#This Row],[Référence]]&amp;"",Tbl_Catalogue[],7,FALSE)=0,"-",VLOOKUP(Tbl_Donnees[[#This Row],[Référence]]&amp;"",Tbl_Catalogue[],7,FALSE)),"-")</f>
        <v>OUI</v>
      </c>
      <c r="L84" s="5" t="str">
        <f>IFERROR(IF(VLOOKUP(Tbl_Donnees[[#This Row],[Référence]]&amp;"",Tbl_Catalogue[],10,FALSE)=0,"-",VLOOKUP(Tbl_Donnees[[#This Row],[Référence]]&amp;"",Tbl_Catalogue[],10,FALSE)),"-")</f>
        <v>-</v>
      </c>
      <c r="M84" s="2" t="str">
        <f>IFERROR(IF(VLOOKUP(Tbl_Donnees[[#This Row],[Référence]]&amp;"",Tbl_Catalogue[],8,FALSE)=0,"-",VLOOKUP(Tbl_Donnees[[#This Row],[Référence]]&amp;"",Tbl_Catalogue[],8,FALSE)),"-")</f>
        <v>5SY6132-7 ou 5SL6132-7 T70mm au lieu de T55mm</v>
      </c>
      <c r="N84" s="5" t="str">
        <f>IFERROR(IF(VLOOKUP(Tbl_Donnees[[#This Row],[Référence]]&amp;"",Tbl_Catalogue[],9,FALSE)=0,"-",VLOOKUP(Tbl_Donnees[[#This Row],[Référence]]&amp;"",Tbl_Catalogue[],9,FALSE)),"-")</f>
        <v>SIEMENS</v>
      </c>
      <c r="O84" s="5" t="str">
        <f>IFERROR(IF(VLOOKUP(Tbl_Donnees[[#This Row],[Référence]]&amp;"",Tbl_Catalogue[],11,FALSE)=0,"-",VLOOKUP(Tbl_Donnees[[#This Row],[Référence]]&amp;"",Tbl_Catalogue[],11,FALSE)),"-")</f>
        <v>-</v>
      </c>
      <c r="P84" s="2" t="str">
        <f>IFERROR(IF(VLOOKUP(Tbl_Donnees[[#This Row],[Référence]]&amp;"",Tbl_Catalogue[],12,FALSE)=0,"-",VLOOKUP(Tbl_Donnees[[#This Row],[Référence]]&amp;"",Tbl_Catalogue[],12,FALSE)),"-")</f>
        <v>ACTIF</v>
      </c>
      <c r="Q84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https://sieportal.siemens.com/fr-ww/products-services/detail/5SY6132-7?tree=CatalogTree</v>
      </c>
      <c r="R84" s="5"/>
    </row>
    <row r="85" spans="1:18" x14ac:dyDescent="0.2">
      <c r="A85" s="2" t="s">
        <v>356</v>
      </c>
      <c r="B85" s="5" t="s">
        <v>41</v>
      </c>
      <c r="C85" s="5" t="s">
        <v>60</v>
      </c>
      <c r="D85" s="6" t="str">
        <f>IFERROR(IF(VLOOKUP(Tbl_Donnees[[#This Row],[Référence]]&amp;"",Tbl_Catalogue[],3,FALSE)=0,"-",VLOOKUP(Tbl_Donnees[[#This Row],[Référence]]&amp;"",Tbl_Catalogue[],3,FALSE)),"-")</f>
        <v>PLC S7-300 CPU 315</v>
      </c>
      <c r="E85" s="6">
        <v>1</v>
      </c>
      <c r="F85" s="6" t="str">
        <f>IFERROR(IF(VLOOKUP(Tbl_Donnees[[#This Row],[Référence]]&amp;"",Tbl_Catalogue[],2,FALSE)=0,"-",VLOOKUP(Tbl_Donnees[[#This Row],[Référence]]&amp;"",Tbl_Catalogue[],2,FALSE)),"-")</f>
        <v>SIEMENS</v>
      </c>
      <c r="G85" s="20" t="s">
        <v>42</v>
      </c>
      <c r="H85" s="6" t="str">
        <f>IFERROR(IF(VLOOKUP(Tbl_Donnees[[#This Row],[Référence]]&amp;"",Tbl_Catalogue[],4,FALSE)=0,"-",VLOOKUP(Tbl_Donnees[[#This Row],[Référence]]&amp;"",Tbl_Catalogue[],4,FALSE)),"-")</f>
        <v>Fin de vie du produit (01/10/2016)</v>
      </c>
      <c r="I85" s="2" t="str">
        <f>IFERROR(IF(VLOOKUP(Tbl_Donnees[[#This Row],[Référence]]&amp;"",Tbl_Catalogue[],5,FALSE)=0,"-",VLOOKUP(Tbl_Donnees[[#This Row],[Référence]]&amp;"",Tbl_Catalogue[],5,FALSE)),"INCONNU")</f>
        <v>OBSOLETE</v>
      </c>
      <c r="J8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https://sieportal.siemens.com/fr-fr/products-services/detail/6ES7315-1AF03-0AB0?tree=CatalogTree</v>
      </c>
      <c r="K85" s="2" t="str">
        <f>IFERROR(IF(VLOOKUP(Tbl_Donnees[[#This Row],[Référence]]&amp;"",Tbl_Catalogue[],7,FALSE)=0,"-",VLOOKUP(Tbl_Donnees[[#This Row],[Référence]]&amp;"",Tbl_Catalogue[],7,FALSE)),"-")</f>
        <v>NON</v>
      </c>
      <c r="L85" s="5" t="str">
        <f>IFERROR(IF(VLOOKUP(Tbl_Donnees[[#This Row],[Référence]]&amp;"",Tbl_Catalogue[],10,FALSE)=0,"-",VLOOKUP(Tbl_Donnees[[#This Row],[Référence]]&amp;"",Tbl_Catalogue[],10,FALSE)),"-")</f>
        <v>-</v>
      </c>
      <c r="M85" s="2" t="str">
        <f>IFERROR(IF(VLOOKUP(Tbl_Donnees[[#This Row],[Référence]]&amp;"",Tbl_Catalogue[],8,FALSE)=0,"-",VLOOKUP(Tbl_Donnees[[#This Row],[Référence]]&amp;"",Tbl_Catalogue[],8,FALSE)),"-")</f>
        <v>-</v>
      </c>
      <c r="N85" s="5" t="str">
        <f>IFERROR(IF(VLOOKUP(Tbl_Donnees[[#This Row],[Référence]]&amp;"",Tbl_Catalogue[],9,FALSE)=0,"-",VLOOKUP(Tbl_Donnees[[#This Row],[Référence]]&amp;"",Tbl_Catalogue[],9,FALSE)),"-")</f>
        <v>-</v>
      </c>
      <c r="O85" s="5" t="str">
        <f>IFERROR(IF(VLOOKUP(Tbl_Donnees[[#This Row],[Référence]]&amp;"",Tbl_Catalogue[],11,FALSE)=0,"-",VLOOKUP(Tbl_Donnees[[#This Row],[Référence]]&amp;"",Tbl_Catalogue[],11,FALSE)),"-")</f>
        <v>-</v>
      </c>
      <c r="P85" s="2" t="str">
        <f>IFERROR(IF(VLOOKUP(Tbl_Donnees[[#This Row],[Référence]]&amp;"",Tbl_Catalogue[],12,FALSE)=0,"-",VLOOKUP(Tbl_Donnees[[#This Row],[Référence]]&amp;"",Tbl_Catalogue[],12,FALSE)),"-")</f>
        <v>-</v>
      </c>
      <c r="Q85" s="13" t="str">
        <f>IFERROR(IF(VLOOKUP(Tbl_Donnees[[#This Row],[Référence]]&amp;"",Tbl_Catalogue[],13,FALSE)=0,"-",VLOOKUP(Tbl_Donnees[[#This Row],[Référence]]&amp;"",Tbl_Catalogue[],13,FALSE)),"-")</f>
        <v>-</v>
      </c>
      <c r="R85" s="2"/>
    </row>
    <row r="86" spans="1:18" x14ac:dyDescent="0.2">
      <c r="A86" s="2" t="s">
        <v>356</v>
      </c>
      <c r="B86" s="5" t="s">
        <v>41</v>
      </c>
      <c r="C86" s="5" t="s">
        <v>60</v>
      </c>
      <c r="D86" s="6" t="str">
        <f>IFERROR(IF(VLOOKUP(Tbl_Donnees[[#This Row],[Référence]]&amp;"",Tbl_Catalogue[],3,FALSE)=0,"-",VLOOKUP(Tbl_Donnees[[#This Row],[Référence]]&amp;"",Tbl_Catalogue[],3,FALSE)),"-")</f>
        <v>BLOC SECURITE 3TK2804</v>
      </c>
      <c r="E86" s="6">
        <v>1</v>
      </c>
      <c r="F86" s="6" t="str">
        <f>IFERROR(IF(VLOOKUP(Tbl_Donnees[[#This Row],[Référence]]&amp;"",Tbl_Catalogue[],2,FALSE)=0,"-",VLOOKUP(Tbl_Donnees[[#This Row],[Référence]]&amp;"",Tbl_Catalogue[],2,FALSE)),"-")</f>
        <v>SIEMENS</v>
      </c>
      <c r="G86" s="20" t="s">
        <v>34</v>
      </c>
      <c r="H86" s="6" t="str">
        <f>IFERROR(IF(VLOOKUP(Tbl_Donnees[[#This Row],[Référence]]&amp;"",Tbl_Catalogue[],4,FALSE)=0,"-",VLOOKUP(Tbl_Donnees[[#This Row],[Référence]]&amp;"",Tbl_Catalogue[],4,FALSE)),"-")</f>
        <v>Fin de vie du produit (31/12/2011)</v>
      </c>
      <c r="I86" s="2" t="str">
        <f>IFERROR(IF(VLOOKUP(Tbl_Donnees[[#This Row],[Référence]]&amp;"",Tbl_Catalogue[],5,FALSE)=0,"-",VLOOKUP(Tbl_Donnees[[#This Row],[Référence]]&amp;"",Tbl_Catalogue[],5,FALSE)),"INCONNU")</f>
        <v>OBSOLETE</v>
      </c>
      <c r="J86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https://sieportal.siemens.com/fr-ww/products-services/detail/3TK2804-0BB4?tree=CatalogTree</v>
      </c>
      <c r="K86" s="2" t="str">
        <f>IFERROR(IF(VLOOKUP(Tbl_Donnees[[#This Row],[Référence]]&amp;"",Tbl_Catalogue[],7,FALSE)=0,"-",VLOOKUP(Tbl_Donnees[[#This Row],[Référence]]&amp;"",Tbl_Catalogue[],7,FALSE)),"-")</f>
        <v>NON</v>
      </c>
      <c r="L86" s="5" t="str">
        <f>IFERROR(IF(VLOOKUP(Tbl_Donnees[[#This Row],[Référence]]&amp;"",Tbl_Catalogue[],10,FALSE)=0,"-",VLOOKUP(Tbl_Donnees[[#This Row],[Référence]]&amp;"",Tbl_Catalogue[],10,FALSE)),"-")</f>
        <v>-</v>
      </c>
      <c r="M86" s="2" t="str">
        <f>IFERROR(IF(VLOOKUP(Tbl_Donnees[[#This Row],[Référence]]&amp;"",Tbl_Catalogue[],8,FALSE)=0,"-",VLOOKUP(Tbl_Donnees[[#This Row],[Référence]]&amp;"",Tbl_Catalogue[],8,FALSE)),"-")</f>
        <v>-</v>
      </c>
      <c r="N86" s="5" t="str">
        <f>IFERROR(IF(VLOOKUP(Tbl_Donnees[[#This Row],[Référence]]&amp;"",Tbl_Catalogue[],9,FALSE)=0,"-",VLOOKUP(Tbl_Donnees[[#This Row],[Référence]]&amp;"",Tbl_Catalogue[],9,FALSE)),"-")</f>
        <v>-</v>
      </c>
      <c r="O86" s="5" t="str">
        <f>IFERROR(IF(VLOOKUP(Tbl_Donnees[[#This Row],[Référence]]&amp;"",Tbl_Catalogue[],11,FALSE)=0,"-",VLOOKUP(Tbl_Donnees[[#This Row],[Référence]]&amp;"",Tbl_Catalogue[],11,FALSE)),"-")</f>
        <v>-</v>
      </c>
      <c r="P86" s="2" t="str">
        <f>IFERROR(IF(VLOOKUP(Tbl_Donnees[[#This Row],[Référence]]&amp;"",Tbl_Catalogue[],12,FALSE)=0,"-",VLOOKUP(Tbl_Donnees[[#This Row],[Référence]]&amp;"",Tbl_Catalogue[],12,FALSE)),"-")</f>
        <v>-</v>
      </c>
      <c r="Q86" s="13" t="str">
        <f>IFERROR(IF(VLOOKUP(Tbl_Donnees[[#This Row],[Référence]]&amp;"",Tbl_Catalogue[],13,FALSE)=0,"-",VLOOKUP(Tbl_Donnees[[#This Row],[Référence]]&amp;"",Tbl_Catalogue[],13,FALSE)),"-")</f>
        <v>-</v>
      </c>
      <c r="R86" s="5"/>
    </row>
    <row r="87" spans="1:18" x14ac:dyDescent="0.2">
      <c r="A87" s="2" t="s">
        <v>356</v>
      </c>
      <c r="B87" s="5" t="s">
        <v>41</v>
      </c>
      <c r="C87" s="5" t="s">
        <v>60</v>
      </c>
      <c r="D87" s="6" t="str">
        <f>IFERROR(IF(VLOOKUP(Tbl_Donnees[[#This Row],[Référence]]&amp;"",Tbl_Catalogue[],3,FALSE)=0,"-",VLOOKUP(Tbl_Donnees[[#This Row],[Référence]]&amp;"",Tbl_Catalogue[],3,FALSE)),"-")</f>
        <v>RELAIS PCB 24VCC 16A</v>
      </c>
      <c r="E87" s="6">
        <v>1</v>
      </c>
      <c r="F87" s="6" t="str">
        <f>IFERROR(IF(VLOOKUP(Tbl_Donnees[[#This Row],[Référence]]&amp;"",Tbl_Catalogue[],2,FALSE)=0,"-",VLOOKUP(Tbl_Donnees[[#This Row],[Référence]]&amp;"",Tbl_Catalogue[],2,FALSE)),"-")</f>
        <v>SCHRACK</v>
      </c>
      <c r="G87" s="20" t="s">
        <v>272</v>
      </c>
      <c r="H87" s="6" t="str">
        <f>IFERROR(IF(VLOOKUP(Tbl_Donnees[[#This Row],[Référence]]&amp;"",Tbl_Catalogue[],4,FALSE)=0,"-",VLOOKUP(Tbl_Donnees[[#This Row],[Référence]]&amp;"",Tbl_Catalogue[],4,FALSE)),"-")</f>
        <v>Produit Actif</v>
      </c>
      <c r="I87" s="2" t="str">
        <f>IFERROR(IF(VLOOKUP(Tbl_Donnees[[#This Row],[Référence]]&amp;"",Tbl_Catalogue[],5,FALSE)=0,"-",VLOOKUP(Tbl_Donnees[[#This Row],[Référence]]&amp;"",Tbl_Catalogue[],5,FALSE)),"INCONNU")</f>
        <v>ACTIF</v>
      </c>
      <c r="J87" s="3" t="str">
        <f>IFERROR(IF(VLOOKUP(Tbl_Donnees[[#This Row],[Référence]]&amp;"",Tbl_Catalogue[],6,FALSE)=0,"-",VLOOKUP(Tbl_Donnees[[#This Row],[Référence]]&amp;"",Tbl_Catalogue[],6,FALSE)),"-")</f>
        <v>https://www.schrack.com/shop/control-technology/plug-in-print-timer-measuring-and-monitoring-relays/plug-in-relays/power-relays-schrack-series-rt/pcb-relay-1-c-o-24vdc-16a-pinning-5-0-rt314024.html?q=rt314024</v>
      </c>
      <c r="K87" s="2" t="str">
        <f>IFERROR(IF(VLOOKUP(Tbl_Donnees[[#This Row],[Référence]]&amp;"",Tbl_Catalogue[],7,FALSE)=0,"-",VLOOKUP(Tbl_Donnees[[#This Row],[Référence]]&amp;"",Tbl_Catalogue[],7,FALSE)),"-")</f>
        <v>-</v>
      </c>
      <c r="L87" s="5" t="str">
        <f>IFERROR(IF(VLOOKUP(Tbl_Donnees[[#This Row],[Référence]]&amp;"",Tbl_Catalogue[],10,FALSE)=0,"-",VLOOKUP(Tbl_Donnees[[#This Row],[Référence]]&amp;"",Tbl_Catalogue[],10,FALSE)),"-")</f>
        <v>-</v>
      </c>
      <c r="M87" s="2" t="str">
        <f>IFERROR(IF(VLOOKUP(Tbl_Donnees[[#This Row],[Référence]]&amp;"",Tbl_Catalogue[],8,FALSE)=0,"-",VLOOKUP(Tbl_Donnees[[#This Row],[Référence]]&amp;"",Tbl_Catalogue[],8,FALSE)),"-")</f>
        <v>-</v>
      </c>
      <c r="N87" s="5" t="str">
        <f>IFERROR(IF(VLOOKUP(Tbl_Donnees[[#This Row],[Référence]]&amp;"",Tbl_Catalogue[],9,FALSE)=0,"-",VLOOKUP(Tbl_Donnees[[#This Row],[Référence]]&amp;"",Tbl_Catalogue[],9,FALSE)),"-")</f>
        <v>-</v>
      </c>
      <c r="O87" s="5" t="str">
        <f>IFERROR(IF(VLOOKUP(Tbl_Donnees[[#This Row],[Référence]]&amp;"",Tbl_Catalogue[],11,FALSE)=0,"-",VLOOKUP(Tbl_Donnees[[#This Row],[Référence]]&amp;"",Tbl_Catalogue[],11,FALSE)),"-")</f>
        <v>-</v>
      </c>
      <c r="P87" s="2" t="str">
        <f>IFERROR(IF(VLOOKUP(Tbl_Donnees[[#This Row],[Référence]]&amp;"",Tbl_Catalogue[],12,FALSE)=0,"-",VLOOKUP(Tbl_Donnees[[#This Row],[Référence]]&amp;"",Tbl_Catalogue[],12,FALSE)),"-")</f>
        <v>-</v>
      </c>
      <c r="Q87" s="13" t="str">
        <f>IFERROR(IF(VLOOKUP(Tbl_Donnees[[#This Row],[Référence]]&amp;"",Tbl_Catalogue[],13,FALSE)=0,"-",VLOOKUP(Tbl_Donnees[[#This Row],[Référence]]&amp;"",Tbl_Catalogue[],13,FALSE)),"-")</f>
        <v>-</v>
      </c>
      <c r="R87" s="5"/>
    </row>
    <row r="88" spans="1:18" x14ac:dyDescent="0.2">
      <c r="A88" s="2" t="s">
        <v>356</v>
      </c>
      <c r="B88" s="5" t="s">
        <v>41</v>
      </c>
      <c r="C88" s="5" t="s">
        <v>60</v>
      </c>
      <c r="D88" s="6" t="str">
        <f>IFERROR(IF(VLOOKUP(Tbl_Donnees[[#This Row],[Référence]]&amp;"",Tbl_Catalogue[],3,FALSE)=0,"-",VLOOKUP(Tbl_Donnees[[#This Row],[Référence]]&amp;"",Tbl_Catalogue[],3,FALSE)),"-")</f>
        <v>INTERRUPTEUR DE SECURITE</v>
      </c>
      <c r="E88" s="6">
        <v>5</v>
      </c>
      <c r="F88" s="6" t="str">
        <f>IFERROR(IF(VLOOKUP(Tbl_Donnees[[#This Row],[Référence]]&amp;"",Tbl_Catalogue[],2,FALSE)=0,"-",VLOOKUP(Tbl_Donnees[[#This Row],[Référence]]&amp;"",Tbl_Catalogue[],2,FALSE)),"-")</f>
        <v>SCHMERSAL</v>
      </c>
      <c r="G88" s="20" t="s">
        <v>166</v>
      </c>
      <c r="H88" s="6" t="str">
        <f>IFERROR(IF(VLOOKUP(Tbl_Donnees[[#This Row],[Référence]]&amp;"",Tbl_Catalogue[],4,FALSE)=0,"-",VLOOKUP(Tbl_Donnees[[#This Row],[Référence]]&amp;"",Tbl_Catalogue[],4,FALSE)),"-")</f>
        <v>INCONNU</v>
      </c>
      <c r="I88" s="2" t="str">
        <f>IFERROR(IF(VLOOKUP(Tbl_Donnees[[#This Row],[Référence]]&amp;"",Tbl_Catalogue[],5,FALSE)=0,"-",VLOOKUP(Tbl_Donnees[[#This Row],[Référence]]&amp;"",Tbl_Catalogue[],5,FALSE)),"INCONNU")</f>
        <v>INCONNU</v>
      </c>
      <c r="J88" s="3" t="str">
        <f>IFERROR(IF(VLOOKUP(Tbl_Donnees[[#This Row],[Référence]]&amp;"",Tbl_Catalogue[],6,FALSE)=0,"-",VLOOKUP(Tbl_Donnees[[#This Row],[Référence]]&amp;"",Tbl_Catalogue[],6,FALSE)),"-")</f>
        <v>https://products.schmersal.com/de_DE/az-16-02zvk-m16-101154699.html</v>
      </c>
      <c r="K88" s="2" t="str">
        <f>IFERROR(IF(VLOOKUP(Tbl_Donnees[[#This Row],[Référence]]&amp;"",Tbl_Catalogue[],7,FALSE)=0,"-",VLOOKUP(Tbl_Donnees[[#This Row],[Référence]]&amp;"",Tbl_Catalogue[],7,FALSE)),"-")</f>
        <v>INCONNU</v>
      </c>
      <c r="L88" s="5" t="str">
        <f>IFERROR(IF(VLOOKUP(Tbl_Donnees[[#This Row],[Référence]]&amp;"",Tbl_Catalogue[],10,FALSE)=0,"-",VLOOKUP(Tbl_Donnees[[#This Row],[Référence]]&amp;"",Tbl_Catalogue[],10,FALSE)),"-")</f>
        <v>-</v>
      </c>
      <c r="M88" s="2" t="str">
        <f>IFERROR(IF(VLOOKUP(Tbl_Donnees[[#This Row],[Référence]]&amp;"",Tbl_Catalogue[],8,FALSE)=0,"-",VLOOKUP(Tbl_Donnees[[#This Row],[Référence]]&amp;"",Tbl_Catalogue[],8,FALSE)),"-")</f>
        <v>-</v>
      </c>
      <c r="N88" s="5" t="str">
        <f>IFERROR(IF(VLOOKUP(Tbl_Donnees[[#This Row],[Référence]]&amp;"",Tbl_Catalogue[],9,FALSE)=0,"-",VLOOKUP(Tbl_Donnees[[#This Row],[Référence]]&amp;"",Tbl_Catalogue[],9,FALSE)),"-")</f>
        <v>-</v>
      </c>
      <c r="O88" s="5" t="str">
        <f>IFERROR(IF(VLOOKUP(Tbl_Donnees[[#This Row],[Référence]]&amp;"",Tbl_Catalogue[],11,FALSE)=0,"-",VLOOKUP(Tbl_Donnees[[#This Row],[Référence]]&amp;"",Tbl_Catalogue[],11,FALSE)),"-")</f>
        <v>-</v>
      </c>
      <c r="P88" s="2" t="str">
        <f>IFERROR(IF(VLOOKUP(Tbl_Donnees[[#This Row],[Référence]]&amp;"",Tbl_Catalogue[],12,FALSE)=0,"-",VLOOKUP(Tbl_Donnees[[#This Row],[Référence]]&amp;"",Tbl_Catalogue[],12,FALSE)),"-")</f>
        <v>-</v>
      </c>
      <c r="Q88" s="13" t="str">
        <f>IFERROR(IF(VLOOKUP(Tbl_Donnees[[#This Row],[Référence]]&amp;"",Tbl_Catalogue[],13,FALSE)=0,"-",VLOOKUP(Tbl_Donnees[[#This Row],[Référence]]&amp;"",Tbl_Catalogue[],13,FALSE)),"-")</f>
        <v>-</v>
      </c>
      <c r="R88" s="2"/>
    </row>
    <row r="89" spans="1:18" x14ac:dyDescent="0.2">
      <c r="A89" s="2" t="s">
        <v>356</v>
      </c>
      <c r="B89" s="5" t="s">
        <v>41</v>
      </c>
      <c r="C89" s="5" t="s">
        <v>60</v>
      </c>
      <c r="D89" s="6" t="str">
        <f>IFERROR(IF(VLOOKUP(Tbl_Donnees[[#This Row],[Référence]]&amp;"",Tbl_Catalogue[],3,FALSE)=0,"-",VLOOKUP(Tbl_Donnees[[#This Row],[Référence]]&amp;"",Tbl_Catalogue[],3,FALSE)),"-")</f>
        <v>MOT. ASYNCHRONE TRIPHASE</v>
      </c>
      <c r="E89" s="6">
        <v>1</v>
      </c>
      <c r="F89" s="6" t="str">
        <f>IFERROR(IF(VLOOKUP(Tbl_Donnees[[#This Row],[Référence]]&amp;"",Tbl_Catalogue[],2,FALSE)=0,"-",VLOOKUP(Tbl_Donnees[[#This Row],[Référence]]&amp;"",Tbl_Catalogue[],2,FALSE)),"-")</f>
        <v>ROGNONI</v>
      </c>
      <c r="G89" s="20" t="s">
        <v>49</v>
      </c>
      <c r="H89" s="6" t="str">
        <f>IFERROR(IF(VLOOKUP(Tbl_Donnees[[#This Row],[Référence]]&amp;"",Tbl_Catalogue[],4,FALSE)=0,"-",VLOOKUP(Tbl_Donnees[[#This Row],[Référence]]&amp;"",Tbl_Catalogue[],4,FALSE)),"-")</f>
        <v>Obsolète</v>
      </c>
      <c r="I89" s="2" t="str">
        <f>IFERROR(IF(VLOOKUP(Tbl_Donnees[[#This Row],[Référence]]&amp;"",Tbl_Catalogue[],5,FALSE)=0,"-",VLOOKUP(Tbl_Donnees[[#This Row],[Référence]]&amp;"",Tbl_Catalogue[],5,FALSE)),"INCONNU")</f>
        <v>OBSOLETE</v>
      </c>
      <c r="J89" s="3" t="str">
        <f>IFERROR(IF(VLOOKUP(Tbl_Donnees[[#This Row],[Référence]]&amp;"",Tbl_Catalogue[],6,FALSE)=0,"-",VLOOKUP(Tbl_Donnees[[#This Row],[Référence]]&amp;"",Tbl_Catalogue[],6,FALSE)),"-")</f>
        <v>-</v>
      </c>
      <c r="K89" s="2" t="str">
        <f>IFERROR(IF(VLOOKUP(Tbl_Donnees[[#This Row],[Référence]]&amp;"",Tbl_Catalogue[],7,FALSE)=0,"-",VLOOKUP(Tbl_Donnees[[#This Row],[Référence]]&amp;"",Tbl_Catalogue[],7,FALSE)),"-")</f>
        <v>INCONNU</v>
      </c>
      <c r="L89" s="5" t="str">
        <f>IFERROR(IF(VLOOKUP(Tbl_Donnees[[#This Row],[Référence]]&amp;"",Tbl_Catalogue[],10,FALSE)=0,"-",VLOOKUP(Tbl_Donnees[[#This Row],[Référence]]&amp;"",Tbl_Catalogue[],10,FALSE)),"-")</f>
        <v>-</v>
      </c>
      <c r="M89" s="2" t="str">
        <f>IFERROR(IF(VLOOKUP(Tbl_Donnees[[#This Row],[Référence]]&amp;"",Tbl_Catalogue[],8,FALSE)=0,"-",VLOOKUP(Tbl_Donnees[[#This Row],[Référence]]&amp;"",Tbl_Catalogue[],8,FALSE)),"-")</f>
        <v>-</v>
      </c>
      <c r="N89" s="5" t="str">
        <f>IFERROR(IF(VLOOKUP(Tbl_Donnees[[#This Row],[Référence]]&amp;"",Tbl_Catalogue[],9,FALSE)=0,"-",VLOOKUP(Tbl_Donnees[[#This Row],[Référence]]&amp;"",Tbl_Catalogue[],9,FALSE)),"-")</f>
        <v>-</v>
      </c>
      <c r="O89" s="5" t="str">
        <f>IFERROR(IF(VLOOKUP(Tbl_Donnees[[#This Row],[Référence]]&amp;"",Tbl_Catalogue[],11,FALSE)=0,"-",VLOOKUP(Tbl_Donnees[[#This Row],[Référence]]&amp;"",Tbl_Catalogue[],11,FALSE)),"-")</f>
        <v>-</v>
      </c>
      <c r="P89" s="2" t="str">
        <f>IFERROR(IF(VLOOKUP(Tbl_Donnees[[#This Row],[Référence]]&amp;"",Tbl_Catalogue[],12,FALSE)=0,"-",VLOOKUP(Tbl_Donnees[[#This Row],[Référence]]&amp;"",Tbl_Catalogue[],12,FALSE)),"-")</f>
        <v>-</v>
      </c>
      <c r="Q89" s="13" t="str">
        <f>IFERROR(IF(VLOOKUP(Tbl_Donnees[[#This Row],[Référence]]&amp;"",Tbl_Catalogue[],13,FALSE)=0,"-",VLOOKUP(Tbl_Donnees[[#This Row],[Référence]]&amp;"",Tbl_Catalogue[],13,FALSE)),"-")</f>
        <v>-</v>
      </c>
      <c r="R89" s="5"/>
    </row>
    <row r="90" spans="1:18" ht="20.399999999999999" x14ac:dyDescent="0.2">
      <c r="A90" s="2" t="s">
        <v>356</v>
      </c>
      <c r="B90" s="5" t="s">
        <v>41</v>
      </c>
      <c r="C90" s="5" t="s">
        <v>60</v>
      </c>
      <c r="D90" s="6" t="str">
        <f>IFERROR(IF(VLOOKUP(Tbl_Donnees[[#This Row],[Référence]]&amp;"",Tbl_Catalogue[],3,FALSE)=0,"-",VLOOKUP(Tbl_Donnees[[#This Row],[Référence]]&amp;"",Tbl_Catalogue[],3,FALSE)),"-")</f>
        <v>MODULE ELECTRONIQUE RTS105M</v>
      </c>
      <c r="E90" s="6">
        <v>1</v>
      </c>
      <c r="F90" s="6" t="str">
        <f>IFERROR(IF(VLOOKUP(Tbl_Donnees[[#This Row],[Référence]]&amp;"",Tbl_Catalogue[],2,FALSE)=0,"-",VLOOKUP(Tbl_Donnees[[#This Row],[Référence]]&amp;"",Tbl_Catalogue[],2,FALSE)),"-")</f>
        <v>PARSEC</v>
      </c>
      <c r="G90" s="20" t="s">
        <v>162</v>
      </c>
      <c r="H90" s="6" t="str">
        <f>IFERROR(IF(VLOOKUP(Tbl_Donnees[[#This Row],[Référence]]&amp;"",Tbl_Catalogue[],4,FALSE)=0,"-",VLOOKUP(Tbl_Donnees[[#This Row],[Référence]]&amp;"",Tbl_Catalogue[],4,FALSE)),"-")</f>
        <v>INCONNU</v>
      </c>
      <c r="I90" s="2" t="str">
        <f>IFERROR(IF(VLOOKUP(Tbl_Donnees[[#This Row],[Référence]]&amp;"",Tbl_Catalogue[],5,FALSE)=0,"-",VLOOKUP(Tbl_Donnees[[#This Row],[Référence]]&amp;"",Tbl_Catalogue[],5,FALSE)),"INCONNU")</f>
        <v>INCONNU</v>
      </c>
      <c r="J90" s="3" t="str">
        <f>IFERROR(IF(VLOOKUP(Tbl_Donnees[[#This Row],[Référence]]&amp;"",Tbl_Catalogue[],6,FALSE)=0,"-",VLOOKUP(Tbl_Donnees[[#This Row],[Référence]]&amp;"",Tbl_Catalogue[],6,FALSE)),"-")</f>
        <v>-</v>
      </c>
      <c r="K90" s="2" t="str">
        <f>IFERROR(IF(VLOOKUP(Tbl_Donnees[[#This Row],[Référence]]&amp;"",Tbl_Catalogue[],7,FALSE)=0,"-",VLOOKUP(Tbl_Donnees[[#This Row],[Référence]]&amp;"",Tbl_Catalogue[],7,FALSE)),"-")</f>
        <v>INCONNU</v>
      </c>
      <c r="L90" s="5" t="str">
        <f>IFERROR(IF(VLOOKUP(Tbl_Donnees[[#This Row],[Référence]]&amp;"",Tbl_Catalogue[],10,FALSE)=0,"-",VLOOKUP(Tbl_Donnees[[#This Row],[Référence]]&amp;"",Tbl_Catalogue[],10,FALSE)),"-")</f>
        <v>-</v>
      </c>
      <c r="M90" s="2" t="str">
        <f>IFERROR(IF(VLOOKUP(Tbl_Donnees[[#This Row],[Référence]]&amp;"",Tbl_Catalogue[],8,FALSE)=0,"-",VLOOKUP(Tbl_Donnees[[#This Row],[Référence]]&amp;"",Tbl_Catalogue[],8,FALSE)),"-")</f>
        <v>-</v>
      </c>
      <c r="N90" s="5" t="str">
        <f>IFERROR(IF(VLOOKUP(Tbl_Donnees[[#This Row],[Référence]]&amp;"",Tbl_Catalogue[],9,FALSE)=0,"-",VLOOKUP(Tbl_Donnees[[#This Row],[Référence]]&amp;"",Tbl_Catalogue[],9,FALSE)),"-")</f>
        <v>-</v>
      </c>
      <c r="O90" s="5" t="str">
        <f>IFERROR(IF(VLOOKUP(Tbl_Donnees[[#This Row],[Référence]]&amp;"",Tbl_Catalogue[],11,FALSE)=0,"-",VLOOKUP(Tbl_Donnees[[#This Row],[Référence]]&amp;"",Tbl_Catalogue[],11,FALSE)),"-")</f>
        <v>-</v>
      </c>
      <c r="P90" s="2" t="str">
        <f>IFERROR(IF(VLOOKUP(Tbl_Donnees[[#This Row],[Référence]]&amp;"",Tbl_Catalogue[],12,FALSE)=0,"-",VLOOKUP(Tbl_Donnees[[#This Row],[Référence]]&amp;"",Tbl_Catalogue[],12,FALSE)),"-")</f>
        <v>-</v>
      </c>
      <c r="Q90" s="13" t="str">
        <f>IFERROR(IF(VLOOKUP(Tbl_Donnees[[#This Row],[Référence]]&amp;"",Tbl_Catalogue[],13,FALSE)=0,"-",VLOOKUP(Tbl_Donnees[[#This Row],[Référence]]&amp;"",Tbl_Catalogue[],13,FALSE)),"-")</f>
        <v>-</v>
      </c>
      <c r="R90" s="2"/>
    </row>
    <row r="91" spans="1:18" x14ac:dyDescent="0.2">
      <c r="A91" s="2" t="s">
        <v>356</v>
      </c>
      <c r="B91" s="5" t="s">
        <v>41</v>
      </c>
      <c r="C91" s="5" t="s">
        <v>60</v>
      </c>
      <c r="D91" s="6" t="str">
        <f>IFERROR(IF(VLOOKUP(Tbl_Donnees[[#This Row],[Référence]]&amp;"",Tbl_Catalogue[],3,FALSE)=0,"-",VLOOKUP(Tbl_Donnees[[#This Row],[Référence]]&amp;"",Tbl_Catalogue[],3,FALSE)),"-")</f>
        <v>MOT. ASYNCHRONE TRIPHASE</v>
      </c>
      <c r="E91" s="6">
        <v>1</v>
      </c>
      <c r="F91" s="6" t="str">
        <f>IFERROR(IF(VLOOKUP(Tbl_Donnees[[#This Row],[Référence]]&amp;"",Tbl_Catalogue[],2,FALSE)=0,"-",VLOOKUP(Tbl_Donnees[[#This Row],[Référence]]&amp;"",Tbl_Catalogue[],2,FALSE)),"-")</f>
        <v>LEROY SOMER</v>
      </c>
      <c r="G91" s="20" t="s">
        <v>90</v>
      </c>
      <c r="H91" s="6" t="str">
        <f>IFERROR(IF(VLOOKUP(Tbl_Donnees[[#This Row],[Référence]]&amp;"",Tbl_Catalogue[],4,FALSE)=0,"-",VLOOKUP(Tbl_Donnees[[#This Row],[Référence]]&amp;"",Tbl_Catalogue[],4,FALSE)),"-")</f>
        <v>INCONNU</v>
      </c>
      <c r="I91" s="2" t="str">
        <f>IFERROR(IF(VLOOKUP(Tbl_Donnees[[#This Row],[Référence]]&amp;"",Tbl_Catalogue[],5,FALSE)=0,"-",VLOOKUP(Tbl_Donnees[[#This Row],[Référence]]&amp;"",Tbl_Catalogue[],5,FALSE)),"INCONNU")</f>
        <v>INCONNU</v>
      </c>
      <c r="J91" s="3" t="str">
        <f>IFERROR(IF(VLOOKUP(Tbl_Donnees[[#This Row],[Référence]]&amp;"",Tbl_Catalogue[],6,FALSE)=0,"-",VLOOKUP(Tbl_Donnees[[#This Row],[Référence]]&amp;"",Tbl_Catalogue[],6,FALSE)),"-")</f>
        <v>https://acim.nidec.com/fr-CH/motors/leroy-somer/Products/induction-motors/3-phase-motors-for-standard-applications/lses</v>
      </c>
      <c r="K91" s="2" t="str">
        <f>IFERROR(IF(VLOOKUP(Tbl_Donnees[[#This Row],[Référence]]&amp;"",Tbl_Catalogue[],7,FALSE)=0,"-",VLOOKUP(Tbl_Donnees[[#This Row],[Référence]]&amp;"",Tbl_Catalogue[],7,FALSE)),"-")</f>
        <v>INCONNU</v>
      </c>
      <c r="L91" s="5" t="str">
        <f>IFERROR(IF(VLOOKUP(Tbl_Donnees[[#This Row],[Référence]]&amp;"",Tbl_Catalogue[],10,FALSE)=0,"-",VLOOKUP(Tbl_Donnees[[#This Row],[Référence]]&amp;"",Tbl_Catalogue[],10,FALSE)),"-")</f>
        <v>-</v>
      </c>
      <c r="M91" s="2" t="str">
        <f>IFERROR(IF(VLOOKUP(Tbl_Donnees[[#This Row],[Référence]]&amp;"",Tbl_Catalogue[],8,FALSE)=0,"-",VLOOKUP(Tbl_Donnees[[#This Row],[Référence]]&amp;"",Tbl_Catalogue[],8,FALSE)),"-")</f>
        <v>-</v>
      </c>
      <c r="N91" s="5" t="str">
        <f>IFERROR(IF(VLOOKUP(Tbl_Donnees[[#This Row],[Référence]]&amp;"",Tbl_Catalogue[],9,FALSE)=0,"-",VLOOKUP(Tbl_Donnees[[#This Row],[Référence]]&amp;"",Tbl_Catalogue[],9,FALSE)),"-")</f>
        <v>-</v>
      </c>
      <c r="O91" s="5" t="str">
        <f>IFERROR(IF(VLOOKUP(Tbl_Donnees[[#This Row],[Référence]]&amp;"",Tbl_Catalogue[],11,FALSE)=0,"-",VLOOKUP(Tbl_Donnees[[#This Row],[Référence]]&amp;"",Tbl_Catalogue[],11,FALSE)),"-")</f>
        <v>-</v>
      </c>
      <c r="P91" s="2" t="str">
        <f>IFERROR(IF(VLOOKUP(Tbl_Donnees[[#This Row],[Référence]]&amp;"",Tbl_Catalogue[],12,FALSE)=0,"-",VLOOKUP(Tbl_Donnees[[#This Row],[Référence]]&amp;"",Tbl_Catalogue[],12,FALSE)),"-")</f>
        <v>-</v>
      </c>
      <c r="Q91" s="13" t="str">
        <f>IFERROR(IF(VLOOKUP(Tbl_Donnees[[#This Row],[Référence]]&amp;"",Tbl_Catalogue[],13,FALSE)=0,"-",VLOOKUP(Tbl_Donnees[[#This Row],[Référence]]&amp;"",Tbl_Catalogue[],13,FALSE)),"-")</f>
        <v>-</v>
      </c>
      <c r="R91" s="5"/>
    </row>
    <row r="92" spans="1:18" x14ac:dyDescent="0.2">
      <c r="A92" s="2" t="s">
        <v>356</v>
      </c>
      <c r="B92" s="5" t="s">
        <v>41</v>
      </c>
      <c r="C92" s="5" t="s">
        <v>60</v>
      </c>
      <c r="D92" s="6" t="str">
        <f>IFERROR(IF(VLOOKUP(Tbl_Donnees[[#This Row],[Référence]]&amp;"",Tbl_Catalogue[],3,FALSE)=0,"-",VLOOKUP(Tbl_Donnees[[#This Row],[Référence]]&amp;"",Tbl_Catalogue[],3,FALSE)),"-")</f>
        <v xml:space="preserve">RELAIS STATIQUE </v>
      </c>
      <c r="E92" s="6">
        <v>7</v>
      </c>
      <c r="F92" s="6" t="str">
        <f>IFERROR(IF(VLOOKUP(Tbl_Donnees[[#This Row],[Référence]]&amp;"",Tbl_Catalogue[],2,FALSE)=0,"-",VLOOKUP(Tbl_Donnees[[#This Row],[Référence]]&amp;"",Tbl_Catalogue[],2,FALSE)),"-")</f>
        <v>ELCO SRL</v>
      </c>
      <c r="G92" s="20" t="s">
        <v>50</v>
      </c>
      <c r="H92" s="6" t="str">
        <f>IFERROR(IF(VLOOKUP(Tbl_Donnees[[#This Row],[Référence]]&amp;"",Tbl_Catalogue[],4,FALSE)=0,"-",VLOOKUP(Tbl_Donnees[[#This Row],[Référence]]&amp;"",Tbl_Catalogue[],4,FALSE)),"-")</f>
        <v>INCONNU</v>
      </c>
      <c r="I92" s="2" t="str">
        <f>IFERROR(IF(VLOOKUP(Tbl_Donnees[[#This Row],[Référence]]&amp;"",Tbl_Catalogue[],5,FALSE)=0,"-",VLOOKUP(Tbl_Donnees[[#This Row],[Référence]]&amp;"",Tbl_Catalogue[],5,FALSE)),"INCONNU")</f>
        <v>INCONNU</v>
      </c>
      <c r="J92" s="3" t="str">
        <f>IFERROR(IF(VLOOKUP(Tbl_Donnees[[#This Row],[Référence]]&amp;"",Tbl_Catalogue[],6,FALSE)=0,"-",VLOOKUP(Tbl_Donnees[[#This Row],[Référence]]&amp;"",Tbl_Catalogue[],6,FALSE)),"-")</f>
        <v>https://www.elco-italy.com/prodotti/ssr-91-series-solid-state-relays/</v>
      </c>
      <c r="K92" s="2" t="str">
        <f>IFERROR(IF(VLOOKUP(Tbl_Donnees[[#This Row],[Référence]]&amp;"",Tbl_Catalogue[],7,FALSE)=0,"-",VLOOKUP(Tbl_Donnees[[#This Row],[Référence]]&amp;"",Tbl_Catalogue[],7,FALSE)),"-")</f>
        <v>INCONNU</v>
      </c>
      <c r="L92" s="5" t="str">
        <f>IFERROR(IF(VLOOKUP(Tbl_Donnees[[#This Row],[Référence]]&amp;"",Tbl_Catalogue[],10,FALSE)=0,"-",VLOOKUP(Tbl_Donnees[[#This Row],[Référence]]&amp;"",Tbl_Catalogue[],10,FALSE)),"-")</f>
        <v>-</v>
      </c>
      <c r="M92" s="2" t="str">
        <f>IFERROR(IF(VLOOKUP(Tbl_Donnees[[#This Row],[Référence]]&amp;"",Tbl_Catalogue[],8,FALSE)=0,"-",VLOOKUP(Tbl_Donnees[[#This Row],[Référence]]&amp;"",Tbl_Catalogue[],8,FALSE)),"-")</f>
        <v>-</v>
      </c>
      <c r="N92" s="5" t="str">
        <f>IFERROR(IF(VLOOKUP(Tbl_Donnees[[#This Row],[Référence]]&amp;"",Tbl_Catalogue[],9,FALSE)=0,"-",VLOOKUP(Tbl_Donnees[[#This Row],[Référence]]&amp;"",Tbl_Catalogue[],9,FALSE)),"-")</f>
        <v>-</v>
      </c>
      <c r="O92" s="5" t="str">
        <f>IFERROR(IF(VLOOKUP(Tbl_Donnees[[#This Row],[Référence]]&amp;"",Tbl_Catalogue[],11,FALSE)=0,"-",VLOOKUP(Tbl_Donnees[[#This Row],[Référence]]&amp;"",Tbl_Catalogue[],11,FALSE)),"-")</f>
        <v>-</v>
      </c>
      <c r="P92" s="2" t="str">
        <f>IFERROR(IF(VLOOKUP(Tbl_Donnees[[#This Row],[Référence]]&amp;"",Tbl_Catalogue[],12,FALSE)=0,"-",VLOOKUP(Tbl_Donnees[[#This Row],[Référence]]&amp;"",Tbl_Catalogue[],12,FALSE)),"-")</f>
        <v>-</v>
      </c>
      <c r="Q92" s="13" t="str">
        <f>IFERROR(IF(VLOOKUP(Tbl_Donnees[[#This Row],[Référence]]&amp;"",Tbl_Catalogue[],13,FALSE)=0,"-",VLOOKUP(Tbl_Donnees[[#This Row],[Référence]]&amp;"",Tbl_Catalogue[],13,FALSE)),"-")</f>
        <v>-</v>
      </c>
      <c r="R92" s="2"/>
    </row>
    <row r="93" spans="1:18" x14ac:dyDescent="0.2">
      <c r="A93" s="2" t="s">
        <v>356</v>
      </c>
      <c r="B93" s="5" t="s">
        <v>41</v>
      </c>
      <c r="C93" s="5" t="s">
        <v>60</v>
      </c>
      <c r="D93" s="6" t="str">
        <f>IFERROR(IF(VLOOKUP(Tbl_Donnees[[#This Row],[Référence]]&amp;"",Tbl_Catalogue[],3,FALSE)=0,"-",VLOOKUP(Tbl_Donnees[[#This Row],[Référence]]&amp;"",Tbl_Catalogue[],3,FALSE)),"-")</f>
        <v>COMMUTATEUR ARRET/MARCHE</v>
      </c>
      <c r="E93" s="6">
        <v>1</v>
      </c>
      <c r="F93" s="6" t="str">
        <f>IFERROR(IF(VLOOKUP(Tbl_Donnees[[#This Row],[Référence]]&amp;"",Tbl_Catalogue[],2,FALSE)=0,"-",VLOOKUP(Tbl_Donnees[[#This Row],[Référence]]&amp;"",Tbl_Catalogue[],2,FALSE)),"-")</f>
        <v>EATON</v>
      </c>
      <c r="G93" s="20" t="s">
        <v>276</v>
      </c>
      <c r="H93" s="6" t="str">
        <f>IFERROR(IF(VLOOKUP(Tbl_Donnees[[#This Row],[Référence]]&amp;"",Tbl_Catalogue[],4,FALSE)=0,"-",VLOOKUP(Tbl_Donnees[[#This Row],[Référence]]&amp;"",Tbl_Catalogue[],4,FALSE)),"-")</f>
        <v>-</v>
      </c>
      <c r="I93" s="2" t="str">
        <f>IFERROR(IF(VLOOKUP(Tbl_Donnees[[#This Row],[Référence]]&amp;"",Tbl_Catalogue[],5,FALSE)=0,"-",VLOOKUP(Tbl_Donnees[[#This Row],[Référence]]&amp;"",Tbl_Catalogue[],5,FALSE)),"INCONNU")</f>
        <v>INCONNU</v>
      </c>
      <c r="J93" s="3" t="str">
        <f>IFERROR(IF(VLOOKUP(Tbl_Donnees[[#This Row],[Référence]]&amp;"",Tbl_Catalogue[],6,FALSE)=0,"-",VLOOKUP(Tbl_Donnees[[#This Row],[Référence]]&amp;"",Tbl_Catalogue[],6,FALSE)),"-")</f>
        <v>https://www.eaton.com/us/en-us/skuPage.172834.html</v>
      </c>
      <c r="K93" s="2" t="str">
        <f>IFERROR(IF(VLOOKUP(Tbl_Donnees[[#This Row],[Référence]]&amp;"",Tbl_Catalogue[],7,FALSE)=0,"-",VLOOKUP(Tbl_Donnees[[#This Row],[Référence]]&amp;"",Tbl_Catalogue[],7,FALSE)),"-")</f>
        <v>INCONNU</v>
      </c>
      <c r="L93" s="5" t="str">
        <f>IFERROR(IF(VLOOKUP(Tbl_Donnees[[#This Row],[Référence]]&amp;"",Tbl_Catalogue[],10,FALSE)=0,"-",VLOOKUP(Tbl_Donnees[[#This Row],[Référence]]&amp;"",Tbl_Catalogue[],10,FALSE)),"-")</f>
        <v>-</v>
      </c>
      <c r="M93" s="2" t="str">
        <f>IFERROR(IF(VLOOKUP(Tbl_Donnees[[#This Row],[Référence]]&amp;"",Tbl_Catalogue[],8,FALSE)=0,"-",VLOOKUP(Tbl_Donnees[[#This Row],[Référence]]&amp;"",Tbl_Catalogue[],8,FALSE)),"-")</f>
        <v>-</v>
      </c>
      <c r="N93" s="5" t="str">
        <f>IFERROR(IF(VLOOKUP(Tbl_Donnees[[#This Row],[Référence]]&amp;"",Tbl_Catalogue[],9,FALSE)=0,"-",VLOOKUP(Tbl_Donnees[[#This Row],[Référence]]&amp;"",Tbl_Catalogue[],9,FALSE)),"-")</f>
        <v>-</v>
      </c>
      <c r="O93" s="5" t="str">
        <f>IFERROR(IF(VLOOKUP(Tbl_Donnees[[#This Row],[Référence]]&amp;"",Tbl_Catalogue[],11,FALSE)=0,"-",VLOOKUP(Tbl_Donnees[[#This Row],[Référence]]&amp;"",Tbl_Catalogue[],11,FALSE)),"-")</f>
        <v>-</v>
      </c>
      <c r="P93" s="2" t="str">
        <f>IFERROR(IF(VLOOKUP(Tbl_Donnees[[#This Row],[Référence]]&amp;"",Tbl_Catalogue[],12,FALSE)=0,"-",VLOOKUP(Tbl_Donnees[[#This Row],[Référence]]&amp;"",Tbl_Catalogue[],12,FALSE)),"-")</f>
        <v>-</v>
      </c>
      <c r="Q93" s="13" t="str">
        <f>IFERROR(IF(VLOOKUP(Tbl_Donnees[[#This Row],[Référence]]&amp;"",Tbl_Catalogue[],13,FALSE)=0,"-",VLOOKUP(Tbl_Donnees[[#This Row],[Référence]]&amp;"",Tbl_Catalogue[],13,FALSE)),"-")</f>
        <v>-</v>
      </c>
      <c r="R93" s="5"/>
    </row>
    <row r="94" spans="1:18" x14ac:dyDescent="0.2">
      <c r="A94" s="2" t="s">
        <v>356</v>
      </c>
      <c r="B94" s="5" t="s">
        <v>41</v>
      </c>
      <c r="C94" s="5" t="s">
        <v>60</v>
      </c>
      <c r="D94" s="6" t="str">
        <f>IFERROR(IF(VLOOKUP(Tbl_Donnees[[#This Row],[Référence]]&amp;"",Tbl_Catalogue[],3,FALSE)=0,"-",VLOOKUP(Tbl_Donnees[[#This Row],[Référence]]&amp;"",Tbl_Catalogue[],3,FALSE)),"-")</f>
        <v>ALIM. STABILISEE 24VCC</v>
      </c>
      <c r="E94" s="6">
        <v>1</v>
      </c>
      <c r="F94" s="6" t="str">
        <f>IFERROR(IF(VLOOKUP(Tbl_Donnees[[#This Row],[Référence]]&amp;"",Tbl_Catalogue[],2,FALSE)=0,"-",VLOOKUP(Tbl_Donnees[[#This Row],[Référence]]&amp;"",Tbl_Catalogue[],2,FALSE)),"-")</f>
        <v>DETAS</v>
      </c>
      <c r="G94" s="20" t="s">
        <v>52</v>
      </c>
      <c r="H94" s="6" t="str">
        <f>IFERROR(IF(VLOOKUP(Tbl_Donnees[[#This Row],[Référence]]&amp;"",Tbl_Catalogue[],4,FALSE)=0,"-",VLOOKUP(Tbl_Donnees[[#This Row],[Référence]]&amp;"",Tbl_Catalogue[],4,FALSE)),"-")</f>
        <v>INCONNU</v>
      </c>
      <c r="I94" s="2" t="str">
        <f>IFERROR(IF(VLOOKUP(Tbl_Donnees[[#This Row],[Référence]]&amp;"",Tbl_Catalogue[],5,FALSE)=0,"-",VLOOKUP(Tbl_Donnees[[#This Row],[Référence]]&amp;"",Tbl_Catalogue[],5,FALSE)),"INCONNU")</f>
        <v>INCONNU</v>
      </c>
      <c r="J94" s="3" t="str">
        <f>IFERROR(IF(VLOOKUP(Tbl_Donnees[[#This Row],[Référence]]&amp;"",Tbl_Catalogue[],6,FALSE)=0,"-",VLOOKUP(Tbl_Donnees[[#This Row],[Référence]]&amp;"",Tbl_Catalogue[],6,FALSE)),"-")</f>
        <v>-</v>
      </c>
      <c r="K94" s="2" t="str">
        <f>IFERROR(IF(VLOOKUP(Tbl_Donnees[[#This Row],[Référence]]&amp;"",Tbl_Catalogue[],7,FALSE)=0,"-",VLOOKUP(Tbl_Donnees[[#This Row],[Référence]]&amp;"",Tbl_Catalogue[],7,FALSE)),"-")</f>
        <v>INCONNU</v>
      </c>
      <c r="L94" s="5" t="str">
        <f>IFERROR(IF(VLOOKUP(Tbl_Donnees[[#This Row],[Référence]]&amp;"",Tbl_Catalogue[],10,FALSE)=0,"-",VLOOKUP(Tbl_Donnees[[#This Row],[Référence]]&amp;"",Tbl_Catalogue[],10,FALSE)),"-")</f>
        <v>-</v>
      </c>
      <c r="M94" s="2" t="str">
        <f>IFERROR(IF(VLOOKUP(Tbl_Donnees[[#This Row],[Référence]]&amp;"",Tbl_Catalogue[],8,FALSE)=0,"-",VLOOKUP(Tbl_Donnees[[#This Row],[Référence]]&amp;"",Tbl_Catalogue[],8,FALSE)),"-")</f>
        <v>-</v>
      </c>
      <c r="N94" s="5" t="str">
        <f>IFERROR(IF(VLOOKUP(Tbl_Donnees[[#This Row],[Référence]]&amp;"",Tbl_Catalogue[],9,FALSE)=0,"-",VLOOKUP(Tbl_Donnees[[#This Row],[Référence]]&amp;"",Tbl_Catalogue[],9,FALSE)),"-")</f>
        <v>-</v>
      </c>
      <c r="O94" s="5" t="str">
        <f>IFERROR(IF(VLOOKUP(Tbl_Donnees[[#This Row],[Référence]]&amp;"",Tbl_Catalogue[],11,FALSE)=0,"-",VLOOKUP(Tbl_Donnees[[#This Row],[Référence]]&amp;"",Tbl_Catalogue[],11,FALSE)),"-")</f>
        <v>-</v>
      </c>
      <c r="P94" s="2" t="str">
        <f>IFERROR(IF(VLOOKUP(Tbl_Donnees[[#This Row],[Référence]]&amp;"",Tbl_Catalogue[],12,FALSE)=0,"-",VLOOKUP(Tbl_Donnees[[#This Row],[Référence]]&amp;"",Tbl_Catalogue[],12,FALSE)),"-")</f>
        <v>-</v>
      </c>
      <c r="Q94" s="13" t="str">
        <f>IFERROR(IF(VLOOKUP(Tbl_Donnees[[#This Row],[Référence]]&amp;"",Tbl_Catalogue[],13,FALSE)=0,"-",VLOOKUP(Tbl_Donnees[[#This Row],[Référence]]&amp;"",Tbl_Catalogue[],13,FALSE)),"-")</f>
        <v>-</v>
      </c>
      <c r="R94" s="2"/>
    </row>
    <row r="95" spans="1:18" x14ac:dyDescent="0.2">
      <c r="A95" s="2" t="s">
        <v>356</v>
      </c>
      <c r="B95" s="5" t="s">
        <v>41</v>
      </c>
      <c r="C95" s="5" t="s">
        <v>140</v>
      </c>
      <c r="D95" s="6" t="str">
        <f>IFERROR(IF(VLOOKUP(Tbl_Donnees[[#This Row],[Référence]]&amp;"",Tbl_Catalogue[],3,FALSE)=0,"-",VLOOKUP(Tbl_Donnees[[#This Row],[Référence]]&amp;"",Tbl_Catalogue[],3,FALSE)),"-")</f>
        <v>MANOMETRE EN837-1</v>
      </c>
      <c r="E95" s="6">
        <v>1</v>
      </c>
      <c r="F95" s="6" t="str">
        <f>IFERROR(IF(VLOOKUP(Tbl_Donnees[[#This Row],[Référence]]&amp;"",Tbl_Catalogue[],2,FALSE)=0,"-",VLOOKUP(Tbl_Donnees[[#This Row],[Référence]]&amp;"",Tbl_Catalogue[],2,FALSE)),"-")</f>
        <v>WIKA</v>
      </c>
      <c r="G95" s="20" t="s">
        <v>184</v>
      </c>
      <c r="H95" s="6" t="str">
        <f>IFERROR(IF(VLOOKUP(Tbl_Donnees[[#This Row],[Référence]]&amp;"",Tbl_Catalogue[],4,FALSE)=0,"-",VLOOKUP(Tbl_Donnees[[#This Row],[Référence]]&amp;"",Tbl_Catalogue[],4,FALSE)),"-")</f>
        <v>Produit actif</v>
      </c>
      <c r="I95" s="2" t="str">
        <f>IFERROR(IF(VLOOKUP(Tbl_Donnees[[#This Row],[Référence]]&amp;"",Tbl_Catalogue[],5,FALSE)=0,"-",VLOOKUP(Tbl_Donnees[[#This Row],[Référence]]&amp;"",Tbl_Catalogue[],5,FALSE)),"INCONNU")</f>
        <v>ACTIF</v>
      </c>
      <c r="J95" s="3" t="str">
        <f>IFERROR(IF(VLOOKUP(Tbl_Donnees[[#This Row],[Référence]]&amp;"",Tbl_Catalogue[],6,FALSE)=0,"-",VLOOKUP(Tbl_Donnees[[#This Row],[Référence]]&amp;"",Tbl_Catalogue[],6,FALSE)),"-")</f>
        <v>https://www.wika.com/fr-fr/dss19f.WIKA?highlightedText=EN837-1</v>
      </c>
      <c r="K95" s="2" t="str">
        <f>IFERROR(IF(VLOOKUP(Tbl_Donnees[[#This Row],[Référence]]&amp;"",Tbl_Catalogue[],7,FALSE)=0,"-",VLOOKUP(Tbl_Donnees[[#This Row],[Référence]]&amp;"",Tbl_Catalogue[],7,FALSE)),"-")</f>
        <v>-</v>
      </c>
      <c r="L95" s="5" t="str">
        <f>IFERROR(IF(VLOOKUP(Tbl_Donnees[[#This Row],[Référence]]&amp;"",Tbl_Catalogue[],10,FALSE)=0,"-",VLOOKUP(Tbl_Donnees[[#This Row],[Référence]]&amp;"",Tbl_Catalogue[],10,FALSE)),"-")</f>
        <v>-</v>
      </c>
      <c r="M95" s="2" t="str">
        <f>IFERROR(IF(VLOOKUP(Tbl_Donnees[[#This Row],[Référence]]&amp;"",Tbl_Catalogue[],8,FALSE)=0,"-",VLOOKUP(Tbl_Donnees[[#This Row],[Référence]]&amp;"",Tbl_Catalogue[],8,FALSE)),"-")</f>
        <v>-</v>
      </c>
      <c r="N95" s="5" t="str">
        <f>IFERROR(IF(VLOOKUP(Tbl_Donnees[[#This Row],[Référence]]&amp;"",Tbl_Catalogue[],9,FALSE)=0,"-",VLOOKUP(Tbl_Donnees[[#This Row],[Référence]]&amp;"",Tbl_Catalogue[],9,FALSE)),"-")</f>
        <v>-</v>
      </c>
      <c r="O95" s="5" t="str">
        <f>IFERROR(IF(VLOOKUP(Tbl_Donnees[[#This Row],[Référence]]&amp;"",Tbl_Catalogue[],11,FALSE)=0,"-",VLOOKUP(Tbl_Donnees[[#This Row],[Référence]]&amp;"",Tbl_Catalogue[],11,FALSE)),"-")</f>
        <v>-</v>
      </c>
      <c r="P95" s="2" t="str">
        <f>IFERROR(IF(VLOOKUP(Tbl_Donnees[[#This Row],[Référence]]&amp;"",Tbl_Catalogue[],12,FALSE)=0,"-",VLOOKUP(Tbl_Donnees[[#This Row],[Référence]]&amp;"",Tbl_Catalogue[],12,FALSE)),"-")</f>
        <v>-</v>
      </c>
      <c r="Q95" s="13" t="str">
        <f>IFERROR(IF(VLOOKUP(Tbl_Donnees[[#This Row],[Référence]]&amp;"",Tbl_Catalogue[],13,FALSE)=0,"-",VLOOKUP(Tbl_Donnees[[#This Row],[Référence]]&amp;"",Tbl_Catalogue[],13,FALSE)),"-")</f>
        <v>-</v>
      </c>
      <c r="R95" s="2"/>
    </row>
    <row r="96" spans="1:18" x14ac:dyDescent="0.2">
      <c r="A96" s="2" t="s">
        <v>356</v>
      </c>
      <c r="B96" s="5" t="s">
        <v>41</v>
      </c>
      <c r="C96" s="5" t="s">
        <v>140</v>
      </c>
      <c r="D96" s="6" t="str">
        <f>IFERROR(IF(VLOOKUP(Tbl_Donnees[[#This Row],[Référence]]&amp;"",Tbl_Catalogue[],3,FALSE)=0,"-",VLOOKUP(Tbl_Donnees[[#This Row],[Référence]]&amp;"",Tbl_Catalogue[],3,FALSE)),"-")</f>
        <v>Robinet bouton-poussoir</v>
      </c>
      <c r="E96" s="6">
        <v>1</v>
      </c>
      <c r="F96" s="6" t="str">
        <f>IFERROR(IF(VLOOKUP(Tbl_Donnees[[#This Row],[Référence]]&amp;"",Tbl_Catalogue[],2,FALSE)=0,"-",VLOOKUP(Tbl_Donnees[[#This Row],[Référence]]&amp;"",Tbl_Catalogue[],2,FALSE)),"-")</f>
        <v>HYDAC</v>
      </c>
      <c r="G96" s="20" t="s">
        <v>281</v>
      </c>
      <c r="H96" s="6" t="str">
        <f>IFERROR(IF(VLOOKUP(Tbl_Donnees[[#This Row],[Référence]]&amp;"",Tbl_Catalogue[],4,FALSE)=0,"-",VLOOKUP(Tbl_Donnees[[#This Row],[Référence]]&amp;"",Tbl_Catalogue[],4,FALSE)),"-")</f>
        <v>Obsolète</v>
      </c>
      <c r="I96" s="2" t="str">
        <f>IFERROR(IF(VLOOKUP(Tbl_Donnees[[#This Row],[Référence]]&amp;"",Tbl_Catalogue[],5,FALSE)=0,"-",VLOOKUP(Tbl_Donnees[[#This Row],[Référence]]&amp;"",Tbl_Catalogue[],5,FALSE)),"INCONNU")</f>
        <v>INCONNU</v>
      </c>
      <c r="J96" s="3" t="str">
        <f>IFERROR(IF(VLOOKUP(Tbl_Donnees[[#This Row],[Référence]]&amp;"",Tbl_Catalogue[],6,FALSE)=0,"-",VLOOKUP(Tbl_Donnees[[#This Row],[Référence]]&amp;"",Tbl_Catalogue[],6,FALSE)),"-")</f>
        <v>-</v>
      </c>
      <c r="K96" s="2" t="str">
        <f>IFERROR(IF(VLOOKUP(Tbl_Donnees[[#This Row],[Référence]]&amp;"",Tbl_Catalogue[],7,FALSE)=0,"-",VLOOKUP(Tbl_Donnees[[#This Row],[Référence]]&amp;"",Tbl_Catalogue[],7,FALSE)),"-")</f>
        <v>INCONNU</v>
      </c>
      <c r="L96" s="5" t="str">
        <f>IFERROR(IF(VLOOKUP(Tbl_Donnees[[#This Row],[Référence]]&amp;"",Tbl_Catalogue[],10,FALSE)=0,"-",VLOOKUP(Tbl_Donnees[[#This Row],[Référence]]&amp;"",Tbl_Catalogue[],10,FALSE)),"-")</f>
        <v>-</v>
      </c>
      <c r="M96" s="2" t="str">
        <f>IFERROR(IF(VLOOKUP(Tbl_Donnees[[#This Row],[Référence]]&amp;"",Tbl_Catalogue[],8,FALSE)=0,"-",VLOOKUP(Tbl_Donnees[[#This Row],[Référence]]&amp;"",Tbl_Catalogue[],8,FALSE)),"-")</f>
        <v>-</v>
      </c>
      <c r="N96" s="5" t="str">
        <f>IFERROR(IF(VLOOKUP(Tbl_Donnees[[#This Row],[Référence]]&amp;"",Tbl_Catalogue[],9,FALSE)=0,"-",VLOOKUP(Tbl_Donnees[[#This Row],[Référence]]&amp;"",Tbl_Catalogue[],9,FALSE)),"-")</f>
        <v>-</v>
      </c>
      <c r="O96" s="5" t="str">
        <f>IFERROR(IF(VLOOKUP(Tbl_Donnees[[#This Row],[Référence]]&amp;"",Tbl_Catalogue[],11,FALSE)=0,"-",VLOOKUP(Tbl_Donnees[[#This Row],[Référence]]&amp;"",Tbl_Catalogue[],11,FALSE)),"-")</f>
        <v>-</v>
      </c>
      <c r="P96" s="2" t="str">
        <f>IFERROR(IF(VLOOKUP(Tbl_Donnees[[#This Row],[Référence]]&amp;"",Tbl_Catalogue[],12,FALSE)=0,"-",VLOOKUP(Tbl_Donnees[[#This Row],[Référence]]&amp;"",Tbl_Catalogue[],12,FALSE)),"-")</f>
        <v>-</v>
      </c>
      <c r="Q96" s="13" t="str">
        <f>IFERROR(IF(VLOOKUP(Tbl_Donnees[[#This Row],[Référence]]&amp;"",Tbl_Catalogue[],13,FALSE)=0,"-",VLOOKUP(Tbl_Donnees[[#This Row],[Référence]]&amp;"",Tbl_Catalogue[],13,FALSE)),"-")</f>
        <v>-</v>
      </c>
      <c r="R96" s="2"/>
    </row>
    <row r="97" spans="1:18" x14ac:dyDescent="0.2">
      <c r="A97" s="2" t="s">
        <v>356</v>
      </c>
      <c r="B97" s="5" t="s">
        <v>41</v>
      </c>
      <c r="C97" s="5" t="s">
        <v>140</v>
      </c>
      <c r="D97" s="6" t="str">
        <f>IFERROR(IF(VLOOKUP(Tbl_Donnees[[#This Row],[Référence]]&amp;"",Tbl_Catalogue[],3,FALSE)=0,"-",VLOOKUP(Tbl_Donnees[[#This Row],[Référence]]&amp;"",Tbl_Catalogue[],3,FALSE)),"-")</f>
        <v>FILTRE DE LIGNE LF60</v>
      </c>
      <c r="E97" s="6">
        <v>1</v>
      </c>
      <c r="F97" s="6" t="str">
        <f>IFERROR(IF(VLOOKUP(Tbl_Donnees[[#This Row],[Référence]]&amp;"",Tbl_Catalogue[],2,FALSE)=0,"-",VLOOKUP(Tbl_Donnees[[#This Row],[Référence]]&amp;"",Tbl_Catalogue[],2,FALSE)),"-")</f>
        <v>HYDAC</v>
      </c>
      <c r="G97" s="20" t="s">
        <v>185</v>
      </c>
      <c r="H97" s="6" t="str">
        <f>IFERROR(IF(VLOOKUP(Tbl_Donnees[[#This Row],[Référence]]&amp;"",Tbl_Catalogue[],4,FALSE)=0,"-",VLOOKUP(Tbl_Donnees[[#This Row],[Référence]]&amp;"",Tbl_Catalogue[],4,FALSE)),"-")</f>
        <v>Commercialisé</v>
      </c>
      <c r="I97" s="2" t="str">
        <f>IFERROR(IF(VLOOKUP(Tbl_Donnees[[#This Row],[Référence]]&amp;"",Tbl_Catalogue[],5,FALSE)=0,"-",VLOOKUP(Tbl_Donnees[[#This Row],[Référence]]&amp;"",Tbl_Catalogue[],5,FALSE)),"INCONNU")</f>
        <v>ACTIF</v>
      </c>
      <c r="J97" s="3" t="str">
        <f>IFERROR(IF(VLOOKUP(Tbl_Donnees[[#This Row],[Référence]]&amp;"",Tbl_Catalogue[],6,FALSE)=0,"-",VLOOKUP(Tbl_Donnees[[#This Row],[Référence]]&amp;"",Tbl_Catalogue[],6,FALSE)),"-")</f>
        <v>https://www.hydac.com/shop/fr-fr/310056</v>
      </c>
      <c r="K97" s="2" t="str">
        <f>IFERROR(IF(VLOOKUP(Tbl_Donnees[[#This Row],[Référence]]&amp;"",Tbl_Catalogue[],7,FALSE)=0,"-",VLOOKUP(Tbl_Donnees[[#This Row],[Référence]]&amp;"",Tbl_Catalogue[],7,FALSE)),"-")</f>
        <v>-</v>
      </c>
      <c r="L97" s="5" t="str">
        <f>IFERROR(IF(VLOOKUP(Tbl_Donnees[[#This Row],[Référence]]&amp;"",Tbl_Catalogue[],10,FALSE)=0,"-",VLOOKUP(Tbl_Donnees[[#This Row],[Référence]]&amp;"",Tbl_Catalogue[],10,FALSE)),"-")</f>
        <v>-</v>
      </c>
      <c r="M97" s="2" t="str">
        <f>IFERROR(IF(VLOOKUP(Tbl_Donnees[[#This Row],[Référence]]&amp;"",Tbl_Catalogue[],8,FALSE)=0,"-",VLOOKUP(Tbl_Donnees[[#This Row],[Référence]]&amp;"",Tbl_Catalogue[],8,FALSE)),"-")</f>
        <v>-</v>
      </c>
      <c r="N97" s="5" t="str">
        <f>IFERROR(IF(VLOOKUP(Tbl_Donnees[[#This Row],[Référence]]&amp;"",Tbl_Catalogue[],9,FALSE)=0,"-",VLOOKUP(Tbl_Donnees[[#This Row],[Référence]]&amp;"",Tbl_Catalogue[],9,FALSE)),"-")</f>
        <v>-</v>
      </c>
      <c r="O97" s="5" t="str">
        <f>IFERROR(IF(VLOOKUP(Tbl_Donnees[[#This Row],[Référence]]&amp;"",Tbl_Catalogue[],11,FALSE)=0,"-",VLOOKUP(Tbl_Donnees[[#This Row],[Référence]]&amp;"",Tbl_Catalogue[],11,FALSE)),"-")</f>
        <v>-</v>
      </c>
      <c r="P97" s="2" t="str">
        <f>IFERROR(IF(VLOOKUP(Tbl_Donnees[[#This Row],[Référence]]&amp;"",Tbl_Catalogue[],12,FALSE)=0,"-",VLOOKUP(Tbl_Donnees[[#This Row],[Référence]]&amp;"",Tbl_Catalogue[],12,FALSE)),"-")</f>
        <v>-</v>
      </c>
      <c r="Q97" s="13" t="str">
        <f>IFERROR(IF(VLOOKUP(Tbl_Donnees[[#This Row],[Référence]]&amp;"",Tbl_Catalogue[],13,FALSE)=0,"-",VLOOKUP(Tbl_Donnees[[#This Row],[Référence]]&amp;"",Tbl_Catalogue[],13,FALSE)),"-")</f>
        <v>-</v>
      </c>
      <c r="R97" s="5"/>
    </row>
    <row r="98" spans="1:18" x14ac:dyDescent="0.2">
      <c r="A98" s="2" t="s">
        <v>356</v>
      </c>
      <c r="B98" s="5" t="s">
        <v>41</v>
      </c>
      <c r="C98" s="5" t="s">
        <v>140</v>
      </c>
      <c r="D98" s="6" t="str">
        <f>IFERROR(IF(VLOOKUP(Tbl_Donnees[[#This Row],[Référence]]&amp;"",Tbl_Catalogue[],3,FALSE)=0,"-",VLOOKUP(Tbl_Donnees[[#This Row],[Référence]]&amp;"",Tbl_Catalogue[],3,FALSE)),"-")</f>
        <v xml:space="preserve">Filtre Hydraulique </v>
      </c>
      <c r="E98" s="6">
        <v>1</v>
      </c>
      <c r="F98" s="6" t="str">
        <f>IFERROR(IF(VLOOKUP(Tbl_Donnees[[#This Row],[Référence]]&amp;"",Tbl_Catalogue[],2,FALSE)=0,"-",VLOOKUP(Tbl_Donnees[[#This Row],[Référence]]&amp;"",Tbl_Catalogue[],2,FALSE)),"-")</f>
        <v>HIFI</v>
      </c>
      <c r="G98" s="20" t="s">
        <v>279</v>
      </c>
      <c r="H98" s="6" t="str">
        <f>IFERROR(IF(VLOOKUP(Tbl_Donnees[[#This Row],[Référence]]&amp;"",Tbl_Catalogue[],4,FALSE)=0,"-",VLOOKUP(Tbl_Donnees[[#This Row],[Référence]]&amp;"",Tbl_Catalogue[],4,FALSE)),"-")</f>
        <v>-</v>
      </c>
      <c r="I98" s="2" t="str">
        <f>IFERROR(IF(VLOOKUP(Tbl_Donnees[[#This Row],[Référence]]&amp;"",Tbl_Catalogue[],5,FALSE)=0,"-",VLOOKUP(Tbl_Donnees[[#This Row],[Référence]]&amp;"",Tbl_Catalogue[],5,FALSE)),"INCONNU")</f>
        <v>INCONNU</v>
      </c>
      <c r="J98" s="3" t="str">
        <f>IFERROR(IF(VLOOKUP(Tbl_Donnees[[#This Row],[Référence]]&amp;"",Tbl_Catalogue[],6,FALSE)=0,"-",VLOOKUP(Tbl_Donnees[[#This Row],[Référence]]&amp;"",Tbl_Catalogue[],6,FALSE)),"-")</f>
        <v>https://catalog.hifi-filter.com/fr-FR/product/sh-63161/HF039299%20:%20%20:%20%20:%20%20:%20%20:%20V01</v>
      </c>
      <c r="K98" s="2" t="str">
        <f>IFERROR(IF(VLOOKUP(Tbl_Donnees[[#This Row],[Référence]]&amp;"",Tbl_Catalogue[],7,FALSE)=0,"-",VLOOKUP(Tbl_Donnees[[#This Row],[Référence]]&amp;"",Tbl_Catalogue[],7,FALSE)),"-")</f>
        <v>INCONNU</v>
      </c>
      <c r="L98" s="5" t="str">
        <f>IFERROR(IF(VLOOKUP(Tbl_Donnees[[#This Row],[Référence]]&amp;"",Tbl_Catalogue[],10,FALSE)=0,"-",VLOOKUP(Tbl_Donnees[[#This Row],[Référence]]&amp;"",Tbl_Catalogue[],10,FALSE)),"-")</f>
        <v>-</v>
      </c>
      <c r="M98" s="2" t="str">
        <f>IFERROR(IF(VLOOKUP(Tbl_Donnees[[#This Row],[Référence]]&amp;"",Tbl_Catalogue[],8,FALSE)=0,"-",VLOOKUP(Tbl_Donnees[[#This Row],[Référence]]&amp;"",Tbl_Catalogue[],8,FALSE)),"-")</f>
        <v>-</v>
      </c>
      <c r="N98" s="5" t="str">
        <f>IFERROR(IF(VLOOKUP(Tbl_Donnees[[#This Row],[Référence]]&amp;"",Tbl_Catalogue[],9,FALSE)=0,"-",VLOOKUP(Tbl_Donnees[[#This Row],[Référence]]&amp;"",Tbl_Catalogue[],9,FALSE)),"-")</f>
        <v>-</v>
      </c>
      <c r="O98" s="5" t="str">
        <f>IFERROR(IF(VLOOKUP(Tbl_Donnees[[#This Row],[Référence]]&amp;"",Tbl_Catalogue[],11,FALSE)=0,"-",VLOOKUP(Tbl_Donnees[[#This Row],[Référence]]&amp;"",Tbl_Catalogue[],11,FALSE)),"-")</f>
        <v>-</v>
      </c>
      <c r="P98" s="2" t="str">
        <f>IFERROR(IF(VLOOKUP(Tbl_Donnees[[#This Row],[Référence]]&amp;"",Tbl_Catalogue[],12,FALSE)=0,"-",VLOOKUP(Tbl_Donnees[[#This Row],[Référence]]&amp;"",Tbl_Catalogue[],12,FALSE)),"-")</f>
        <v>-</v>
      </c>
      <c r="Q98" s="13" t="str">
        <f>IFERROR(IF(VLOOKUP(Tbl_Donnees[[#This Row],[Référence]]&amp;"",Tbl_Catalogue[],13,FALSE)=0,"-",VLOOKUP(Tbl_Donnees[[#This Row],[Référence]]&amp;"",Tbl_Catalogue[],13,FALSE)),"-")</f>
        <v>-</v>
      </c>
      <c r="R98" s="5"/>
    </row>
    <row r="99" spans="1:18" x14ac:dyDescent="0.2">
      <c r="A99" s="2" t="s">
        <v>356</v>
      </c>
      <c r="B99" s="5" t="s">
        <v>41</v>
      </c>
      <c r="C99" s="5" t="s">
        <v>140</v>
      </c>
      <c r="D99" s="6" t="str">
        <f>IFERROR(IF(VLOOKUP(Tbl_Donnees[[#This Row],[Référence]]&amp;"",Tbl_Catalogue[],3,FALSE)=0,"-",VLOOKUP(Tbl_Donnees[[#This Row],[Référence]]&amp;"",Tbl_Catalogue[],3,FALSE)),"-")</f>
        <v>PRESSOSTAT PNEUMATIQUE</v>
      </c>
      <c r="E99" s="6">
        <v>1</v>
      </c>
      <c r="F99" s="6" t="str">
        <f>IFERROR(IF(VLOOKUP(Tbl_Donnees[[#This Row],[Référence]]&amp;"",Tbl_Catalogue[],2,FALSE)=0,"-",VLOOKUP(Tbl_Donnees[[#This Row],[Référence]]&amp;"",Tbl_Catalogue[],2,FALSE)),"-")</f>
        <v>CAMOZZI</v>
      </c>
      <c r="G99" s="20" t="s">
        <v>159</v>
      </c>
      <c r="H99" s="6" t="str">
        <f>IFERROR(IF(VLOOKUP(Tbl_Donnees[[#This Row],[Référence]]&amp;"",Tbl_Catalogue[],4,FALSE)=0,"-",VLOOKUP(Tbl_Donnees[[#This Row],[Référence]]&amp;"",Tbl_Catalogue[],4,FALSE)),"-")</f>
        <v>Obsolète</v>
      </c>
      <c r="I99" s="2" t="str">
        <f>IFERROR(IF(VLOOKUP(Tbl_Donnees[[#This Row],[Référence]]&amp;"",Tbl_Catalogue[],5,FALSE)=0,"-",VLOOKUP(Tbl_Donnees[[#This Row],[Référence]]&amp;"",Tbl_Catalogue[],5,FALSE)),"INCONNU")</f>
        <v>OBSOLETE</v>
      </c>
      <c r="J99" s="3" t="str">
        <f>IFERROR(IF(VLOOKUP(Tbl_Donnees[[#This Row],[Référence]]&amp;"",Tbl_Catalogue[],6,FALSE)=0,"-",VLOOKUP(Tbl_Donnees[[#This Row],[Référence]]&amp;"",Tbl_Catalogue[],6,FALSE)),"-")</f>
        <v>-</v>
      </c>
      <c r="K99" s="2" t="str">
        <f>IFERROR(IF(VLOOKUP(Tbl_Donnees[[#This Row],[Référence]]&amp;"",Tbl_Catalogue[],7,FALSE)=0,"-",VLOOKUP(Tbl_Donnees[[#This Row],[Référence]]&amp;"",Tbl_Catalogue[],7,FALSE)),"-")</f>
        <v>INCONNU</v>
      </c>
      <c r="L99" s="5" t="str">
        <f>IFERROR(IF(VLOOKUP(Tbl_Donnees[[#This Row],[Référence]]&amp;"",Tbl_Catalogue[],10,FALSE)=0,"-",VLOOKUP(Tbl_Donnees[[#This Row],[Référence]]&amp;"",Tbl_Catalogue[],10,FALSE)),"-")</f>
        <v>-</v>
      </c>
      <c r="M99" s="2" t="str">
        <f>IFERROR(IF(VLOOKUP(Tbl_Donnees[[#This Row],[Référence]]&amp;"",Tbl_Catalogue[],8,FALSE)=0,"-",VLOOKUP(Tbl_Donnees[[#This Row],[Référence]]&amp;"",Tbl_Catalogue[],8,FALSE)),"-")</f>
        <v>-</v>
      </c>
      <c r="N99" s="5" t="str">
        <f>IFERROR(IF(VLOOKUP(Tbl_Donnees[[#This Row],[Référence]]&amp;"",Tbl_Catalogue[],9,FALSE)=0,"-",VLOOKUP(Tbl_Donnees[[#This Row],[Référence]]&amp;"",Tbl_Catalogue[],9,FALSE)),"-")</f>
        <v>-</v>
      </c>
      <c r="O99" s="5" t="str">
        <f>IFERROR(IF(VLOOKUP(Tbl_Donnees[[#This Row],[Référence]]&amp;"",Tbl_Catalogue[],11,FALSE)=0,"-",VLOOKUP(Tbl_Donnees[[#This Row],[Référence]]&amp;"",Tbl_Catalogue[],11,FALSE)),"-")</f>
        <v>-</v>
      </c>
      <c r="P99" s="2" t="str">
        <f>IFERROR(IF(VLOOKUP(Tbl_Donnees[[#This Row],[Référence]]&amp;"",Tbl_Catalogue[],12,FALSE)=0,"-",VLOOKUP(Tbl_Donnees[[#This Row],[Référence]]&amp;"",Tbl_Catalogue[],12,FALSE)),"-")</f>
        <v>-</v>
      </c>
      <c r="Q99" s="13" t="str">
        <f>IFERROR(IF(VLOOKUP(Tbl_Donnees[[#This Row],[Référence]]&amp;"",Tbl_Catalogue[],13,FALSE)=0,"-",VLOOKUP(Tbl_Donnees[[#This Row],[Référence]]&amp;"",Tbl_Catalogue[],13,FALSE)),"-")</f>
        <v>-</v>
      </c>
      <c r="R99" s="2"/>
    </row>
    <row r="100" spans="1:18" ht="20.399999999999999" x14ac:dyDescent="0.2">
      <c r="A100" s="2" t="s">
        <v>356</v>
      </c>
      <c r="B100" s="5" t="s">
        <v>620</v>
      </c>
      <c r="C100" s="5" t="s">
        <v>60</v>
      </c>
      <c r="D100" s="6" t="str">
        <f>IFERROR(IF(VLOOKUP(Tbl_Donnees[[#This Row],[Référence]]&amp;"",Tbl_Catalogue[],3,FALSE)=0,"-",VLOOKUP(Tbl_Donnees[[#This Row],[Référence]]&amp;"",Tbl_Catalogue[],3,FALSE)),"-")</f>
        <v>ALIM. DECOUPAGE PHASEO ABL8</v>
      </c>
      <c r="E100" s="6">
        <v>1</v>
      </c>
      <c r="F100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00" s="20" t="s">
        <v>238</v>
      </c>
      <c r="H100" s="6" t="str">
        <f>IFERROR(IF(VLOOKUP(Tbl_Donnees[[#This Row],[Référence]]&amp;"",Tbl_Catalogue[],4,FALSE)=0,"-",VLOOKUP(Tbl_Donnees[[#This Row],[Référence]]&amp;"",Tbl_Catalogue[],4,FALSE)),"-")</f>
        <v>Fin de service le:20 févr. 2026</v>
      </c>
      <c r="I100" s="2" t="str">
        <f>IFERROR(IF(VLOOKUP(Tbl_Donnees[[#This Row],[Référence]]&amp;"",Tbl_Catalogue[],5,FALSE)=0,"-",VLOOKUP(Tbl_Donnees[[#This Row],[Référence]]&amp;"",Tbl_Catalogue[],5,FALSE)),"INCONNU")</f>
        <v>OBSOLETE</v>
      </c>
      <c r="J100" s="3" t="str">
        <f>IFERROR(IF(VLOOKUP(Tbl_Donnees[[#This Row],[Référence]]&amp;"",Tbl_Catalogue[],6,FALSE)=0,"-",VLOOKUP(Tbl_Donnees[[#This Row],[Référence]]&amp;"",Tbl_Catalogue[],6,FALSE)),"-")</f>
        <v>https://www.se.com/fr/fr/product/ABL8WPS24200/phaseo-abl8-alimentation-%C3%A0-d%C3%A9coupage-20a-380-%C3%A0-500v-triphas%C3%A9-24vcc/</v>
      </c>
      <c r="K100" s="2" t="str">
        <f>IFERROR(IF(VLOOKUP(Tbl_Donnees[[#This Row],[Référence]]&amp;"",Tbl_Catalogue[],7,FALSE)=0,"-",VLOOKUP(Tbl_Donnees[[#This Row],[Référence]]&amp;"",Tbl_Catalogue[],7,FALSE)),"-")</f>
        <v>OUI</v>
      </c>
      <c r="L100" s="5" t="str">
        <f>IFERROR(IF(VLOOKUP(Tbl_Donnees[[#This Row],[Référence]]&amp;"",Tbl_Catalogue[],10,FALSE)=0,"-",VLOOKUP(Tbl_Donnees[[#This Row],[Référence]]&amp;"",Tbl_Catalogue[],10,FALSE)),"-")</f>
        <v>-</v>
      </c>
      <c r="M100" s="2" t="str">
        <f>IFERROR(IF(VLOOKUP(Tbl_Donnees[[#This Row],[Référence]]&amp;"",Tbl_Catalogue[],8,FALSE)=0,"-",VLOOKUP(Tbl_Donnees[[#This Row],[Référence]]&amp;"",Tbl_Catalogue[],8,FALSE)),"-")</f>
        <v>ABLU3A24200</v>
      </c>
      <c r="N100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00" s="5" t="str">
        <f>IFERROR(IF(VLOOKUP(Tbl_Donnees[[#This Row],[Référence]]&amp;"",Tbl_Catalogue[],11,FALSE)=0,"-",VLOOKUP(Tbl_Donnees[[#This Row],[Référence]]&amp;"",Tbl_Catalogue[],11,FALSE)),"-")</f>
        <v>-</v>
      </c>
      <c r="P100" s="2" t="str">
        <f>IFERROR(IF(VLOOKUP(Tbl_Donnees[[#This Row],[Référence]]&amp;"",Tbl_Catalogue[],12,FALSE)=0,"-",VLOOKUP(Tbl_Donnees[[#This Row],[Référence]]&amp;"",Tbl_Catalogue[],12,FALSE)),"-")</f>
        <v>ACTIF</v>
      </c>
      <c r="Q100" s="13" t="str">
        <f>IFERROR(IF(VLOOKUP(Tbl_Donnees[[#This Row],[Référence]]&amp;"",Tbl_Catalogue[],13,FALSE)=0,"-",VLOOKUP(Tbl_Donnees[[#This Row],[Référence]]&amp;"",Tbl_Catalogue[],13,FALSE)),"-")</f>
        <v>-</v>
      </c>
      <c r="R100" s="5"/>
    </row>
    <row r="101" spans="1:18" ht="20.399999999999999" x14ac:dyDescent="0.2">
      <c r="A101" s="2" t="s">
        <v>356</v>
      </c>
      <c r="B101" s="5" t="s">
        <v>620</v>
      </c>
      <c r="C101" s="5" t="s">
        <v>60</v>
      </c>
      <c r="D101" s="6" t="str">
        <f>IFERROR(IF(VLOOKUP(Tbl_Donnees[[#This Row],[Référence]]&amp;"",Tbl_Catalogue[],3,FALSE)=0,"-",VLOOKUP(Tbl_Donnees[[#This Row],[Référence]]&amp;"",Tbl_Catalogue[],3,FALSE)),"-")</f>
        <v>RELAIS SECURITE XPSAT</v>
      </c>
      <c r="E101" s="6">
        <v>1</v>
      </c>
      <c r="F101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01" s="20" t="s">
        <v>30</v>
      </c>
      <c r="H101" s="6" t="str">
        <f>IFERROR(IF(VLOOKUP(Tbl_Donnees[[#This Row],[Référence]]&amp;"",Tbl_Catalogue[],4,FALSE)=0,"-",VLOOKUP(Tbl_Donnees[[#This Row],[Référence]]&amp;"",Tbl_Catalogue[],4,FALSE)),"-")</f>
        <v>Obsolète</v>
      </c>
      <c r="I101" s="2" t="str">
        <f>IFERROR(IF(VLOOKUP(Tbl_Donnees[[#This Row],[Référence]]&amp;"",Tbl_Catalogue[],5,FALSE)=0,"-",VLOOKUP(Tbl_Donnees[[#This Row],[Référence]]&amp;"",Tbl_Catalogue[],5,FALSE)),"INCONNU")</f>
        <v>OBSOLETE</v>
      </c>
      <c r="J101" s="3" t="str">
        <f>IFERROR(IF(VLOOKUP(Tbl_Donnees[[#This Row],[Référence]]&amp;"",Tbl_Catalogue[],6,FALSE)=0,"-",VLOOKUP(Tbl_Donnees[[#This Row],[Référence]]&amp;"",Tbl_Catalogue[],6,FALSE)),"-")</f>
        <v>-</v>
      </c>
      <c r="K101" s="2" t="str">
        <f>IFERROR(IF(VLOOKUP(Tbl_Donnees[[#This Row],[Référence]]&amp;"",Tbl_Catalogue[],7,FALSE)=0,"-",VLOOKUP(Tbl_Donnees[[#This Row],[Référence]]&amp;"",Tbl_Catalogue[],7,FALSE)),"-")</f>
        <v>OUI</v>
      </c>
      <c r="L101" s="5" t="str">
        <f>IFERROR(IF(VLOOKUP(Tbl_Donnees[[#This Row],[Référence]]&amp;"",Tbl_Catalogue[],10,FALSE)=0,"-",VLOOKUP(Tbl_Donnees[[#This Row],[Référence]]&amp;"",Tbl_Catalogue[],10,FALSE)),"-")</f>
        <v>-</v>
      </c>
      <c r="M101" s="2" t="str">
        <f>IFERROR(IF(VLOOKUP(Tbl_Donnees[[#This Row],[Référence]]&amp;"",Tbl_Catalogue[],8,FALSE)=0,"-",VLOOKUP(Tbl_Donnees[[#This Row],[Référence]]&amp;"",Tbl_Catalogue[],8,FALSE)),"-")</f>
        <v>XPSATE</v>
      </c>
      <c r="N101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01" s="5" t="str">
        <f>IFERROR(IF(VLOOKUP(Tbl_Donnees[[#This Row],[Référence]]&amp;"",Tbl_Catalogue[],11,FALSE)=0,"-",VLOOKUP(Tbl_Donnees[[#This Row],[Référence]]&amp;"",Tbl_Catalogue[],11,FALSE)),"-")</f>
        <v>XPSATE est remplacé par XPSUAT</v>
      </c>
      <c r="P101" s="2" t="str">
        <f>IFERROR(IF(VLOOKUP(Tbl_Donnees[[#This Row],[Référence]]&amp;"",Tbl_Catalogue[],12,FALSE)=0,"-",VLOOKUP(Tbl_Donnees[[#This Row],[Référence]]&amp;"",Tbl_Catalogue[],12,FALSE)),"-")</f>
        <v>ACTIF</v>
      </c>
      <c r="Q101" s="13" t="str">
        <f>IFERROR(IF(VLOOKUP(Tbl_Donnees[[#This Row],[Référence]]&amp;"",Tbl_Catalogue[],13,FALSE)=0,"-",VLOOKUP(Tbl_Donnees[[#This Row],[Référence]]&amp;"",Tbl_Catalogue[],13,FALSE)),"-")</f>
        <v>https://www.se.com/fr/fr/product/XPSATE3710/preventa-xpsat-module-arr%C3%AAt-durgence-230vca/</v>
      </c>
      <c r="R101" s="2"/>
    </row>
    <row r="102" spans="1:18" ht="20.399999999999999" x14ac:dyDescent="0.2">
      <c r="A102" s="2" t="s">
        <v>356</v>
      </c>
      <c r="B102" s="5" t="s">
        <v>620</v>
      </c>
      <c r="C102" s="5" t="s">
        <v>60</v>
      </c>
      <c r="D102" s="6" t="str">
        <f>IFERROR(IF(VLOOKUP(Tbl_Donnees[[#This Row],[Référence]]&amp;"",Tbl_Catalogue[],3,FALSE)=0,"-",VLOOKUP(Tbl_Donnees[[#This Row],[Référence]]&amp;"",Tbl_Catalogue[],3,FALSE)),"-")</f>
        <v>INTERRUPTEUR DE POSITION</v>
      </c>
      <c r="E102" s="6">
        <v>1</v>
      </c>
      <c r="F102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02" s="20" t="s">
        <v>240</v>
      </c>
      <c r="H102" s="6" t="str">
        <f>IFERROR(IF(VLOOKUP(Tbl_Donnees[[#This Row],[Référence]]&amp;"",Tbl_Catalogue[],4,FALSE)=0,"-",VLOOKUP(Tbl_Donnees[[#This Row],[Référence]]&amp;"",Tbl_Catalogue[],4,FALSE)),"-")</f>
        <v>Fin de service : 12 Janvier 2022</v>
      </c>
      <c r="I102" s="2" t="str">
        <f>IFERROR(IF(VLOOKUP(Tbl_Donnees[[#This Row],[Référence]]&amp;"",Tbl_Catalogue[],5,FALSE)=0,"-",VLOOKUP(Tbl_Donnees[[#This Row],[Référence]]&amp;"",Tbl_Catalogue[],5,FALSE)),"INCONNU")</f>
        <v>OBSOLETE</v>
      </c>
      <c r="J102" s="3" t="str">
        <f>IFERROR(IF(VLOOKUP(Tbl_Donnees[[#This Row],[Référence]]&amp;"",Tbl_Catalogue[],6,FALSE)=0,"-",VLOOKUP(Tbl_Donnees[[#This Row],[Référence]]&amp;"",Tbl_Catalogue[],6,FALSE)),"-")</f>
        <v>https://telemecaniquesensors.com/global/en/product/reference/XCMA110T300</v>
      </c>
      <c r="K102" s="2" t="str">
        <f>IFERROR(IF(VLOOKUP(Tbl_Donnees[[#This Row],[Référence]]&amp;"",Tbl_Catalogue[],7,FALSE)=0,"-",VLOOKUP(Tbl_Donnees[[#This Row],[Référence]]&amp;"",Tbl_Catalogue[],7,FALSE)),"-")</f>
        <v>OUI</v>
      </c>
      <c r="L102" s="5" t="str">
        <f>IFERROR(IF(VLOOKUP(Tbl_Donnees[[#This Row],[Référence]]&amp;"",Tbl_Catalogue[],10,FALSE)=0,"-",VLOOKUP(Tbl_Donnees[[#This Row],[Référence]]&amp;"",Tbl_Catalogue[],10,FALSE)),"-")</f>
        <v>-</v>
      </c>
      <c r="M102" s="2" t="str">
        <f>IFERROR(IF(VLOOKUP(Tbl_Donnees[[#This Row],[Référence]]&amp;"",Tbl_Catalogue[],8,FALSE)=0,"-",VLOOKUP(Tbl_Donnees[[#This Row],[Référence]]&amp;"",Tbl_Catalogue[],8,FALSE)),"-")</f>
        <v>XCMD2110M12</v>
      </c>
      <c r="N102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02" s="5" t="str">
        <f>IFERROR(IF(VLOOKUP(Tbl_Donnees[[#This Row],[Référence]]&amp;"",Tbl_Catalogue[],11,FALSE)=0,"-",VLOOKUP(Tbl_Donnees[[#This Row],[Référence]]&amp;"",Tbl_Catalogue[],11,FALSE)),"-")</f>
        <v>-</v>
      </c>
      <c r="P102" s="2" t="str">
        <f>IFERROR(IF(VLOOKUP(Tbl_Donnees[[#This Row],[Référence]]&amp;"",Tbl_Catalogue[],12,FALSE)=0,"-",VLOOKUP(Tbl_Donnees[[#This Row],[Référence]]&amp;"",Tbl_Catalogue[],12,FALSE)),"-")</f>
        <v>ACTIF</v>
      </c>
      <c r="Q102" s="13" t="str">
        <f>IFERROR(IF(VLOOKUP(Tbl_Donnees[[#This Row],[Référence]]&amp;"",Tbl_Catalogue[],13,FALSE)=0,"-",VLOOKUP(Tbl_Donnees[[#This Row],[Référence]]&amp;"",Tbl_Catalogue[],13,FALSE)),"-")</f>
        <v>-</v>
      </c>
      <c r="R102" s="5"/>
    </row>
    <row r="103" spans="1:18" ht="20.399999999999999" x14ac:dyDescent="0.2">
      <c r="A103" s="2" t="s">
        <v>356</v>
      </c>
      <c r="B103" s="5" t="s">
        <v>620</v>
      </c>
      <c r="C103" s="5" t="s">
        <v>60</v>
      </c>
      <c r="D103" s="6" t="str">
        <f>IFERROR(IF(VLOOKUP(Tbl_Donnees[[#This Row],[Référence]]&amp;"",Tbl_Catalogue[],3,FALSE)=0,"-",VLOOKUP(Tbl_Donnees[[#This Row],[Référence]]&amp;"",Tbl_Catalogue[],3,FALSE)),"-")</f>
        <v>RELAIS SECURITE XPSAC</v>
      </c>
      <c r="E103" s="6">
        <v>1</v>
      </c>
      <c r="F103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03" s="20" t="s">
        <v>242</v>
      </c>
      <c r="H103" s="6" t="str">
        <f>IFERROR(IF(VLOOKUP(Tbl_Donnees[[#This Row],[Référence]]&amp;"",Tbl_Catalogue[],4,FALSE)=0,"-",VLOOKUP(Tbl_Donnees[[#This Row],[Référence]]&amp;"",Tbl_Catalogue[],4,FALSE)),"-")</f>
        <v>Fin de service le: 6 févr. 2024</v>
      </c>
      <c r="I103" s="2" t="str">
        <f>IFERROR(IF(VLOOKUP(Tbl_Donnees[[#This Row],[Référence]]&amp;"",Tbl_Catalogue[],5,FALSE)=0,"-",VLOOKUP(Tbl_Donnees[[#This Row],[Référence]]&amp;"",Tbl_Catalogue[],5,FALSE)),"INCONNU")</f>
        <v>OBSOLETE</v>
      </c>
      <c r="J103" s="3" t="str">
        <f>IFERROR(IF(VLOOKUP(Tbl_Donnees[[#This Row],[Référence]]&amp;"",Tbl_Catalogue[],6,FALSE)=0,"-",VLOOKUP(Tbl_Donnees[[#This Row],[Référence]]&amp;"",Tbl_Catalogue[],6,FALSE)),"-")</f>
        <v>https://www.se.com/be/fr/product/XPSAC5121/contr%C3%B4leur-xpsac-arr%C3%AAt-durgence-24-v-ca-cc/</v>
      </c>
      <c r="K103" s="2" t="str">
        <f>IFERROR(IF(VLOOKUP(Tbl_Donnees[[#This Row],[Référence]]&amp;"",Tbl_Catalogue[],7,FALSE)=0,"-",VLOOKUP(Tbl_Donnees[[#This Row],[Référence]]&amp;"",Tbl_Catalogue[],7,FALSE)),"-")</f>
        <v>OUI</v>
      </c>
      <c r="L103" s="5" t="str">
        <f>IFERROR(IF(VLOOKUP(Tbl_Donnees[[#This Row],[Référence]]&amp;"",Tbl_Catalogue[],10,FALSE)=0,"-",VLOOKUP(Tbl_Donnees[[#This Row],[Référence]]&amp;"",Tbl_Catalogue[],10,FALSE)),"-")</f>
        <v>-</v>
      </c>
      <c r="M103" s="2" t="str">
        <f>IFERROR(IF(VLOOKUP(Tbl_Donnees[[#This Row],[Référence]]&amp;"",Tbl_Catalogue[],8,FALSE)=0,"-",VLOOKUP(Tbl_Donnees[[#This Row],[Référence]]&amp;"",Tbl_Catalogue[],8,FALSE)),"-")</f>
        <v>XPSBAC14AP</v>
      </c>
      <c r="N103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03" s="5" t="str">
        <f>IFERROR(IF(VLOOKUP(Tbl_Donnees[[#This Row],[Référence]]&amp;"",Tbl_Catalogue[],11,FALSE)=0,"-",VLOOKUP(Tbl_Donnees[[#This Row],[Référence]]&amp;"",Tbl_Catalogue[],11,FALSE)),"-")</f>
        <v>-</v>
      </c>
      <c r="P103" s="2" t="str">
        <f>IFERROR(IF(VLOOKUP(Tbl_Donnees[[#This Row],[Référence]]&amp;"",Tbl_Catalogue[],12,FALSE)=0,"-",VLOOKUP(Tbl_Donnees[[#This Row],[Référence]]&amp;"",Tbl_Catalogue[],12,FALSE)),"-")</f>
        <v>ACTIF</v>
      </c>
      <c r="Q103" s="13" t="str">
        <f>IFERROR(IF(VLOOKUP(Tbl_Donnees[[#This Row],[Référence]]&amp;"",Tbl_Catalogue[],13,FALSE)=0,"-",VLOOKUP(Tbl_Donnees[[#This Row],[Référence]]&amp;"",Tbl_Catalogue[],13,FALSE)),"-")</f>
        <v>-</v>
      </c>
      <c r="R103" s="2"/>
    </row>
    <row r="104" spans="1:18" ht="20.399999999999999" x14ac:dyDescent="0.2">
      <c r="A104" s="2" t="s">
        <v>356</v>
      </c>
      <c r="B104" s="5" t="s">
        <v>620</v>
      </c>
      <c r="C104" s="5" t="s">
        <v>60</v>
      </c>
      <c r="D104" s="6" t="str">
        <f>IFERROR(IF(VLOOKUP(Tbl_Donnees[[#This Row],[Référence]]&amp;"",Tbl_Catalogue[],3,FALSE)=0,"-",VLOOKUP(Tbl_Donnees[[#This Row],[Référence]]&amp;"",Tbl_Catalogue[],3,FALSE)),"-")</f>
        <v>CONTACTEUR TRIPOLAIRE LC1</v>
      </c>
      <c r="E104" s="6">
        <v>1</v>
      </c>
      <c r="F104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04" s="20" t="s">
        <v>100</v>
      </c>
      <c r="H104" s="6" t="str">
        <f>IFERROR(IF(VLOOKUP(Tbl_Donnees[[#This Row],[Référence]]&amp;"",Tbl_Catalogue[],4,FALSE)=0,"-",VLOOKUP(Tbl_Donnees[[#This Row],[Référence]]&amp;"",Tbl_Catalogue[],4,FALSE)),"-")</f>
        <v>-</v>
      </c>
      <c r="I104" s="2" t="str">
        <f>IFERROR(IF(VLOOKUP(Tbl_Donnees[[#This Row],[Référence]]&amp;"",Tbl_Catalogue[],5,FALSE)=0,"-",VLOOKUP(Tbl_Donnees[[#This Row],[Référence]]&amp;"",Tbl_Catalogue[],5,FALSE)),"INCONNU")</f>
        <v>INCONNU</v>
      </c>
      <c r="J104" s="3" t="str">
        <f>IFERROR(IF(VLOOKUP(Tbl_Donnees[[#This Row],[Référence]]&amp;"",Tbl_Catalogue[],6,FALSE)=0,"-",VLOOKUP(Tbl_Donnees[[#This Row],[Référence]]&amp;"",Tbl_Catalogue[],6,FALSE)),"-")</f>
        <v>-</v>
      </c>
      <c r="K104" s="2" t="str">
        <f>IFERROR(IF(VLOOKUP(Tbl_Donnees[[#This Row],[Référence]]&amp;"",Tbl_Catalogue[],7,FALSE)=0,"-",VLOOKUP(Tbl_Donnees[[#This Row],[Référence]]&amp;"",Tbl_Catalogue[],7,FALSE)),"-")</f>
        <v>-</v>
      </c>
      <c r="L104" s="5" t="str">
        <f>IFERROR(IF(VLOOKUP(Tbl_Donnees[[#This Row],[Référence]]&amp;"",Tbl_Catalogue[],10,FALSE)=0,"-",VLOOKUP(Tbl_Donnees[[#This Row],[Référence]]&amp;"",Tbl_Catalogue[],10,FALSE)),"-")</f>
        <v>-</v>
      </c>
      <c r="M104" s="2" t="str">
        <f>IFERROR(IF(VLOOKUP(Tbl_Donnees[[#This Row],[Référence]]&amp;"",Tbl_Catalogue[],8,FALSE)=0,"-",VLOOKUP(Tbl_Donnees[[#This Row],[Référence]]&amp;"",Tbl_Catalogue[],8,FALSE)),"-")</f>
        <v>-</v>
      </c>
      <c r="N104" s="5" t="str">
        <f>IFERROR(IF(VLOOKUP(Tbl_Donnees[[#This Row],[Référence]]&amp;"",Tbl_Catalogue[],9,FALSE)=0,"-",VLOOKUP(Tbl_Donnees[[#This Row],[Référence]]&amp;"",Tbl_Catalogue[],9,FALSE)),"-")</f>
        <v>-</v>
      </c>
      <c r="O104" s="5" t="str">
        <f>IFERROR(IF(VLOOKUP(Tbl_Donnees[[#This Row],[Référence]]&amp;"",Tbl_Catalogue[],11,FALSE)=0,"-",VLOOKUP(Tbl_Donnees[[#This Row],[Référence]]&amp;"",Tbl_Catalogue[],11,FALSE)),"-")</f>
        <v>-</v>
      </c>
      <c r="P104" s="2" t="str">
        <f>IFERROR(IF(VLOOKUP(Tbl_Donnees[[#This Row],[Référence]]&amp;"",Tbl_Catalogue[],12,FALSE)=0,"-",VLOOKUP(Tbl_Donnees[[#This Row],[Référence]]&amp;"",Tbl_Catalogue[],12,FALSE)),"-")</f>
        <v>-</v>
      </c>
      <c r="Q104" s="13" t="str">
        <f>IFERROR(IF(VLOOKUP(Tbl_Donnees[[#This Row],[Référence]]&amp;"",Tbl_Catalogue[],13,FALSE)=0,"-",VLOOKUP(Tbl_Donnees[[#This Row],[Référence]]&amp;"",Tbl_Catalogue[],13,FALSE)),"-")</f>
        <v>-</v>
      </c>
      <c r="R104" s="5"/>
    </row>
    <row r="105" spans="1:18" x14ac:dyDescent="0.2">
      <c r="A105" s="2" t="s">
        <v>356</v>
      </c>
      <c r="B105" s="5" t="s">
        <v>620</v>
      </c>
      <c r="C105" s="5" t="s">
        <v>60</v>
      </c>
      <c r="D105" s="6" t="str">
        <f>IFERROR(IF(VLOOKUP(Tbl_Donnees[[#This Row],[Référence]]&amp;"",Tbl_Catalogue[],3,FALSE)=0,"-",VLOOKUP(Tbl_Donnees[[#This Row],[Référence]]&amp;"",Tbl_Catalogue[],3,FALSE)),"-")</f>
        <v>MOD. ENTREE SSI SM338</v>
      </c>
      <c r="E105" s="6">
        <v>1</v>
      </c>
      <c r="F105" s="6" t="str">
        <f>IFERROR(IF(VLOOKUP(Tbl_Donnees[[#This Row],[Référence]]&amp;"",Tbl_Catalogue[],2,FALSE)=0,"-",VLOOKUP(Tbl_Donnees[[#This Row],[Référence]]&amp;"",Tbl_Catalogue[],2,FALSE)),"-")</f>
        <v>SIEMENS</v>
      </c>
      <c r="G105" s="20" t="s">
        <v>6</v>
      </c>
      <c r="H105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05" s="2" t="str">
        <f>IFERROR(IF(VLOOKUP(Tbl_Donnees[[#This Row],[Référence]]&amp;"",Tbl_Catalogue[],5,FALSE)=0,"-",VLOOKUP(Tbl_Donnees[[#This Row],[Référence]]&amp;"",Tbl_Catalogue[],5,FALSE)),"INCONNU")</f>
        <v>RECHANGE</v>
      </c>
      <c r="J10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https://sieportal.siemens.com/fr-fr/products-services/detail/6ES7338-4BC01-0AB0?tree=CatalogTree</v>
      </c>
      <c r="K105" s="2" t="str">
        <f>IFERROR(IF(VLOOKUP(Tbl_Donnees[[#This Row],[Référence]]&amp;"",Tbl_Catalogue[],7,FALSE)=0,"-",VLOOKUP(Tbl_Donnees[[#This Row],[Référence]]&amp;"",Tbl_Catalogue[],7,FALSE)),"-")</f>
        <v>INCONNU</v>
      </c>
      <c r="L105" s="5" t="str">
        <f>IFERROR(IF(VLOOKUP(Tbl_Donnees[[#This Row],[Référence]]&amp;"",Tbl_Catalogue[],10,FALSE)=0,"-",VLOOKUP(Tbl_Donnees[[#This Row],[Référence]]&amp;"",Tbl_Catalogue[],10,FALSE)),"-")</f>
        <v>-</v>
      </c>
      <c r="M105" s="2" t="str">
        <f>IFERROR(IF(VLOOKUP(Tbl_Donnees[[#This Row],[Référence]]&amp;"",Tbl_Catalogue[],8,FALSE)=0,"-",VLOOKUP(Tbl_Donnees[[#This Row],[Référence]]&amp;"",Tbl_Catalogue[],8,FALSE)),"-")</f>
        <v>-</v>
      </c>
      <c r="N105" s="5" t="str">
        <f>IFERROR(IF(VLOOKUP(Tbl_Donnees[[#This Row],[Référence]]&amp;"",Tbl_Catalogue[],9,FALSE)=0,"-",VLOOKUP(Tbl_Donnees[[#This Row],[Référence]]&amp;"",Tbl_Catalogue[],9,FALSE)),"-")</f>
        <v>-</v>
      </c>
      <c r="O105" s="5" t="str">
        <f>IFERROR(IF(VLOOKUP(Tbl_Donnees[[#This Row],[Référence]]&amp;"",Tbl_Catalogue[],11,FALSE)=0,"-",VLOOKUP(Tbl_Donnees[[#This Row],[Référence]]&amp;"",Tbl_Catalogue[],11,FALSE)),"-")</f>
        <v>-</v>
      </c>
      <c r="P105" s="2" t="str">
        <f>IFERROR(IF(VLOOKUP(Tbl_Donnees[[#This Row],[Référence]]&amp;"",Tbl_Catalogue[],12,FALSE)=0,"-",VLOOKUP(Tbl_Donnees[[#This Row],[Référence]]&amp;"",Tbl_Catalogue[],12,FALSE)),"-")</f>
        <v>-</v>
      </c>
      <c r="Q105" s="13" t="str">
        <f>IFERROR(IF(VLOOKUP(Tbl_Donnees[[#This Row],[Référence]]&amp;"",Tbl_Catalogue[],13,FALSE)=0,"-",VLOOKUP(Tbl_Donnees[[#This Row],[Référence]]&amp;"",Tbl_Catalogue[],13,FALSE)),"-")</f>
        <v>-</v>
      </c>
      <c r="R105" s="5"/>
    </row>
    <row r="106" spans="1:18" x14ac:dyDescent="0.2">
      <c r="A106" s="2" t="s">
        <v>356</v>
      </c>
      <c r="B106" s="5" t="s">
        <v>620</v>
      </c>
      <c r="C106" s="5" t="s">
        <v>60</v>
      </c>
      <c r="D106" s="6" t="str">
        <f>IFERROR(IF(VLOOKUP(Tbl_Donnees[[#This Row],[Référence]]&amp;"",Tbl_Catalogue[],3,FALSE)=0,"-",VLOOKUP(Tbl_Donnees[[#This Row],[Référence]]&amp;"",Tbl_Catalogue[],3,FALSE)),"-")</f>
        <v xml:space="preserve">MOD. 32 DI 24VCC SM321 </v>
      </c>
      <c r="E106" s="6">
        <v>2</v>
      </c>
      <c r="F106" s="6" t="str">
        <f>IFERROR(IF(VLOOKUP(Tbl_Donnees[[#This Row],[Référence]]&amp;"",Tbl_Catalogue[],2,FALSE)=0,"-",VLOOKUP(Tbl_Donnees[[#This Row],[Référence]]&amp;"",Tbl_Catalogue[],2,FALSE)),"-")</f>
        <v>SIEMENS</v>
      </c>
      <c r="G106" s="20" t="s">
        <v>8</v>
      </c>
      <c r="H106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06" s="2" t="str">
        <f>IFERROR(IF(VLOOKUP(Tbl_Donnees[[#This Row],[Référence]]&amp;"",Tbl_Catalogue[],5,FALSE)=0,"-",VLOOKUP(Tbl_Donnees[[#This Row],[Référence]]&amp;"",Tbl_Catalogue[],5,FALSE)),"INCONNU")</f>
        <v>RECHANGE</v>
      </c>
      <c r="J106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https://sieportal.siemens.com/en-ww/products-services/detail/6ES7321-1BL00-0AA0?tree=CatalogTree</v>
      </c>
      <c r="K106" s="2" t="str">
        <f>IFERROR(IF(VLOOKUP(Tbl_Donnees[[#This Row],[Référence]]&amp;"",Tbl_Catalogue[],7,FALSE)=0,"-",VLOOKUP(Tbl_Donnees[[#This Row],[Référence]]&amp;"",Tbl_Catalogue[],7,FALSE)),"-")</f>
        <v>INCONNU</v>
      </c>
      <c r="L106" s="5" t="str">
        <f>IFERROR(IF(VLOOKUP(Tbl_Donnees[[#This Row],[Référence]]&amp;"",Tbl_Catalogue[],10,FALSE)=0,"-",VLOOKUP(Tbl_Donnees[[#This Row],[Référence]]&amp;"",Tbl_Catalogue[],10,FALSE)),"-")</f>
        <v>-</v>
      </c>
      <c r="M106" s="2" t="str">
        <f>IFERROR(IF(VLOOKUP(Tbl_Donnees[[#This Row],[Référence]]&amp;"",Tbl_Catalogue[],8,FALSE)=0,"-",VLOOKUP(Tbl_Donnees[[#This Row],[Référence]]&amp;"",Tbl_Catalogue[],8,FALSE)),"-")</f>
        <v>-</v>
      </c>
      <c r="N106" s="5" t="str">
        <f>IFERROR(IF(VLOOKUP(Tbl_Donnees[[#This Row],[Référence]]&amp;"",Tbl_Catalogue[],9,FALSE)=0,"-",VLOOKUP(Tbl_Donnees[[#This Row],[Référence]]&amp;"",Tbl_Catalogue[],9,FALSE)),"-")</f>
        <v>-</v>
      </c>
      <c r="O106" s="5" t="str">
        <f>IFERROR(IF(VLOOKUP(Tbl_Donnees[[#This Row],[Référence]]&amp;"",Tbl_Catalogue[],11,FALSE)=0,"-",VLOOKUP(Tbl_Donnees[[#This Row],[Référence]]&amp;"",Tbl_Catalogue[],11,FALSE)),"-")</f>
        <v>-</v>
      </c>
      <c r="P106" s="2" t="str">
        <f>IFERROR(IF(VLOOKUP(Tbl_Donnees[[#This Row],[Référence]]&amp;"",Tbl_Catalogue[],12,FALSE)=0,"-",VLOOKUP(Tbl_Donnees[[#This Row],[Référence]]&amp;"",Tbl_Catalogue[],12,FALSE)),"-")</f>
        <v>-</v>
      </c>
      <c r="Q106" s="13" t="str">
        <f>IFERROR(IF(VLOOKUP(Tbl_Donnees[[#This Row],[Référence]]&amp;"",Tbl_Catalogue[],13,FALSE)=0,"-",VLOOKUP(Tbl_Donnees[[#This Row],[Référence]]&amp;"",Tbl_Catalogue[],13,FALSE)),"-")</f>
        <v>-</v>
      </c>
      <c r="R106" s="2"/>
    </row>
    <row r="107" spans="1:18" x14ac:dyDescent="0.2">
      <c r="A107" s="2" t="s">
        <v>356</v>
      </c>
      <c r="B107" s="5" t="s">
        <v>620</v>
      </c>
      <c r="C107" s="5" t="s">
        <v>60</v>
      </c>
      <c r="D107" s="6" t="str">
        <f>IFERROR(IF(VLOOKUP(Tbl_Donnees[[#This Row],[Référence]]&amp;"",Tbl_Catalogue[],3,FALSE)=0,"-",VLOOKUP(Tbl_Donnees[[#This Row],[Référence]]&amp;"",Tbl_Catalogue[],3,FALSE)),"-")</f>
        <v>MOD. 32 DO 24VCC 0.5A SM322</v>
      </c>
      <c r="E107" s="6">
        <v>1</v>
      </c>
      <c r="F107" s="6" t="str">
        <f>IFERROR(IF(VLOOKUP(Tbl_Donnees[[#This Row],[Référence]]&amp;"",Tbl_Catalogue[],2,FALSE)=0,"-",VLOOKUP(Tbl_Donnees[[#This Row],[Référence]]&amp;"",Tbl_Catalogue[],2,FALSE)),"-")</f>
        <v>SIEMENS</v>
      </c>
      <c r="G107" s="20" t="s">
        <v>9</v>
      </c>
      <c r="H107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07" s="2" t="str">
        <f>IFERROR(IF(VLOOKUP(Tbl_Donnees[[#This Row],[Référence]]&amp;"",Tbl_Catalogue[],5,FALSE)=0,"-",VLOOKUP(Tbl_Donnees[[#This Row],[Référence]]&amp;"",Tbl_Catalogue[],5,FALSE)),"INCONNU")</f>
        <v>RECHANGE</v>
      </c>
      <c r="J107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https://sieportal.siemens.com/en-ww/products-services/detail/6ES73221BL000AA0?tree=CatalogTree</v>
      </c>
      <c r="K107" s="2" t="str">
        <f>IFERROR(IF(VLOOKUP(Tbl_Donnees[[#This Row],[Référence]]&amp;"",Tbl_Catalogue[],7,FALSE)=0,"-",VLOOKUP(Tbl_Donnees[[#This Row],[Référence]]&amp;"",Tbl_Catalogue[],7,FALSE)),"-")</f>
        <v>INCONNU</v>
      </c>
      <c r="L107" s="5" t="str">
        <f>IFERROR(IF(VLOOKUP(Tbl_Donnees[[#This Row],[Référence]]&amp;"",Tbl_Catalogue[],10,FALSE)=0,"-",VLOOKUP(Tbl_Donnees[[#This Row],[Référence]]&amp;"",Tbl_Catalogue[],10,FALSE)),"-")</f>
        <v>-</v>
      </c>
      <c r="M107" s="2" t="str">
        <f>IFERROR(IF(VLOOKUP(Tbl_Donnees[[#This Row],[Référence]]&amp;"",Tbl_Catalogue[],8,FALSE)=0,"-",VLOOKUP(Tbl_Donnees[[#This Row],[Référence]]&amp;"",Tbl_Catalogue[],8,FALSE)),"-")</f>
        <v>-</v>
      </c>
      <c r="N107" s="5" t="str">
        <f>IFERROR(IF(VLOOKUP(Tbl_Donnees[[#This Row],[Référence]]&amp;"",Tbl_Catalogue[],9,FALSE)=0,"-",VLOOKUP(Tbl_Donnees[[#This Row],[Référence]]&amp;"",Tbl_Catalogue[],9,FALSE)),"-")</f>
        <v>-</v>
      </c>
      <c r="O107" s="5" t="str">
        <f>IFERROR(IF(VLOOKUP(Tbl_Donnees[[#This Row],[Référence]]&amp;"",Tbl_Catalogue[],11,FALSE)=0,"-",VLOOKUP(Tbl_Donnees[[#This Row],[Référence]]&amp;"",Tbl_Catalogue[],11,FALSE)),"-")</f>
        <v>-</v>
      </c>
      <c r="P107" s="2" t="str">
        <f>IFERROR(IF(VLOOKUP(Tbl_Donnees[[#This Row],[Référence]]&amp;"",Tbl_Catalogue[],12,FALSE)=0,"-",VLOOKUP(Tbl_Donnees[[#This Row],[Référence]]&amp;"",Tbl_Catalogue[],12,FALSE)),"-")</f>
        <v>-</v>
      </c>
      <c r="Q107" s="13" t="str">
        <f>IFERROR(IF(VLOOKUP(Tbl_Donnees[[#This Row],[Référence]]&amp;"",Tbl_Catalogue[],13,FALSE)=0,"-",VLOOKUP(Tbl_Donnees[[#This Row],[Référence]]&amp;"",Tbl_Catalogue[],13,FALSE)),"-")</f>
        <v>-</v>
      </c>
      <c r="R107" s="5"/>
    </row>
    <row r="108" spans="1:18" x14ac:dyDescent="0.2">
      <c r="A108" s="2" t="s">
        <v>356</v>
      </c>
      <c r="B108" s="5" t="s">
        <v>620</v>
      </c>
      <c r="C108" s="5" t="s">
        <v>60</v>
      </c>
      <c r="D108" s="6" t="str">
        <f>IFERROR(IF(VLOOKUP(Tbl_Donnees[[#This Row],[Référence]]&amp;"",Tbl_Catalogue[],3,FALSE)=0,"-",VLOOKUP(Tbl_Donnees[[#This Row],[Référence]]&amp;"",Tbl_Catalogue[],3,FALSE)),"-")</f>
        <v>MOD. 16 DO 24VCC 0.5A SM322</v>
      </c>
      <c r="E108" s="6">
        <v>1</v>
      </c>
      <c r="F108" s="6" t="str">
        <f>IFERROR(IF(VLOOKUP(Tbl_Donnees[[#This Row],[Référence]]&amp;"",Tbl_Catalogue[],2,FALSE)=0,"-",VLOOKUP(Tbl_Donnees[[#This Row],[Référence]]&amp;"",Tbl_Catalogue[],2,FALSE)),"-")</f>
        <v>SIEMENS</v>
      </c>
      <c r="G108" s="20" t="s">
        <v>10</v>
      </c>
      <c r="H108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08" s="2" t="str">
        <f>IFERROR(IF(VLOOKUP(Tbl_Donnees[[#This Row],[Référence]]&amp;"",Tbl_Catalogue[],5,FALSE)=0,"-",VLOOKUP(Tbl_Donnees[[#This Row],[Référence]]&amp;"",Tbl_Catalogue[],5,FALSE)),"INCONNU")</f>
        <v>RECHANGE</v>
      </c>
      <c r="J108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https://sieportal.siemens.com/en-ww/products-services/detail/6ES73221BH010AA0?tree=CatalogTree</v>
      </c>
      <c r="K108" s="2" t="str">
        <f>IFERROR(IF(VLOOKUP(Tbl_Donnees[[#This Row],[Référence]]&amp;"",Tbl_Catalogue[],7,FALSE)=0,"-",VLOOKUP(Tbl_Donnees[[#This Row],[Référence]]&amp;"",Tbl_Catalogue[],7,FALSE)),"-")</f>
        <v>INCONNU</v>
      </c>
      <c r="L108" s="5" t="str">
        <f>IFERROR(IF(VLOOKUP(Tbl_Donnees[[#This Row],[Référence]]&amp;"",Tbl_Catalogue[],10,FALSE)=0,"-",VLOOKUP(Tbl_Donnees[[#This Row],[Référence]]&amp;"",Tbl_Catalogue[],10,FALSE)),"-")</f>
        <v>-</v>
      </c>
      <c r="M108" s="2" t="str">
        <f>IFERROR(IF(VLOOKUP(Tbl_Donnees[[#This Row],[Référence]]&amp;"",Tbl_Catalogue[],8,FALSE)=0,"-",VLOOKUP(Tbl_Donnees[[#This Row],[Référence]]&amp;"",Tbl_Catalogue[],8,FALSE)),"-")</f>
        <v>-</v>
      </c>
      <c r="N108" s="5" t="str">
        <f>IFERROR(IF(VLOOKUP(Tbl_Donnees[[#This Row],[Référence]]&amp;"",Tbl_Catalogue[],9,FALSE)=0,"-",VLOOKUP(Tbl_Donnees[[#This Row],[Référence]]&amp;"",Tbl_Catalogue[],9,FALSE)),"-")</f>
        <v>-</v>
      </c>
      <c r="O108" s="5" t="str">
        <f>IFERROR(IF(VLOOKUP(Tbl_Donnees[[#This Row],[Référence]]&amp;"",Tbl_Catalogue[],11,FALSE)=0,"-",VLOOKUP(Tbl_Donnees[[#This Row],[Référence]]&amp;"",Tbl_Catalogue[],11,FALSE)),"-")</f>
        <v>-</v>
      </c>
      <c r="P108" s="2" t="str">
        <f>IFERROR(IF(VLOOKUP(Tbl_Donnees[[#This Row],[Référence]]&amp;"",Tbl_Catalogue[],12,FALSE)=0,"-",VLOOKUP(Tbl_Donnees[[#This Row],[Référence]]&amp;"",Tbl_Catalogue[],12,FALSE)),"-")</f>
        <v>-</v>
      </c>
      <c r="Q108" s="13" t="str">
        <f>IFERROR(IF(VLOOKUP(Tbl_Donnees[[#This Row],[Référence]]&amp;"",Tbl_Catalogue[],13,FALSE)=0,"-",VLOOKUP(Tbl_Donnees[[#This Row],[Référence]]&amp;"",Tbl_Catalogue[],13,FALSE)),"-")</f>
        <v>-</v>
      </c>
      <c r="R108" s="2"/>
    </row>
    <row r="109" spans="1:18" x14ac:dyDescent="0.2">
      <c r="A109" s="2" t="s">
        <v>356</v>
      </c>
      <c r="B109" s="5" t="s">
        <v>620</v>
      </c>
      <c r="C109" s="5" t="s">
        <v>60</v>
      </c>
      <c r="D109" s="6" t="str">
        <f>IFERROR(IF(VLOOKUP(Tbl_Donnees[[#This Row],[Référence]]&amp;"",Tbl_Catalogue[],3,FALSE)=0,"-",VLOOKUP(Tbl_Donnees[[#This Row],[Référence]]&amp;"",Tbl_Catalogue[],3,FALSE)),"-")</f>
        <v>MOD. 2 AO 11/12BIT SM332</v>
      </c>
      <c r="E109" s="6">
        <v>1</v>
      </c>
      <c r="F109" s="6" t="str">
        <f>IFERROR(IF(VLOOKUP(Tbl_Donnees[[#This Row],[Référence]]&amp;"",Tbl_Catalogue[],2,FALSE)=0,"-",VLOOKUP(Tbl_Donnees[[#This Row],[Référence]]&amp;"",Tbl_Catalogue[],2,FALSE)),"-")</f>
        <v>SIEMENS</v>
      </c>
      <c r="G109" s="20" t="s">
        <v>11</v>
      </c>
      <c r="H109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09" s="2" t="str">
        <f>IFERROR(IF(VLOOKUP(Tbl_Donnees[[#This Row],[Référence]]&amp;"",Tbl_Catalogue[],5,FALSE)=0,"-",VLOOKUP(Tbl_Donnees[[#This Row],[Référence]]&amp;"",Tbl_Catalogue[],5,FALSE)),"INCONNU")</f>
        <v>RECHANGE</v>
      </c>
      <c r="J109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https://sieportal.siemens.com/en-ww/products-services/detail/6ES7332-5HB01-0AB0?tree=CatalogTree</v>
      </c>
      <c r="K109" s="2" t="str">
        <f>IFERROR(IF(VLOOKUP(Tbl_Donnees[[#This Row],[Référence]]&amp;"",Tbl_Catalogue[],7,FALSE)=0,"-",VLOOKUP(Tbl_Donnees[[#This Row],[Référence]]&amp;"",Tbl_Catalogue[],7,FALSE)),"-")</f>
        <v>INCONNU</v>
      </c>
      <c r="L109" s="5" t="str">
        <f>IFERROR(IF(VLOOKUP(Tbl_Donnees[[#This Row],[Référence]]&amp;"",Tbl_Catalogue[],10,FALSE)=0,"-",VLOOKUP(Tbl_Donnees[[#This Row],[Référence]]&amp;"",Tbl_Catalogue[],10,FALSE)),"-")</f>
        <v>-</v>
      </c>
      <c r="M109" s="2" t="str">
        <f>IFERROR(IF(VLOOKUP(Tbl_Donnees[[#This Row],[Référence]]&amp;"",Tbl_Catalogue[],8,FALSE)=0,"-",VLOOKUP(Tbl_Donnees[[#This Row],[Référence]]&amp;"",Tbl_Catalogue[],8,FALSE)),"-")</f>
        <v>-</v>
      </c>
      <c r="N109" s="5" t="str">
        <f>IFERROR(IF(VLOOKUP(Tbl_Donnees[[#This Row],[Référence]]&amp;"",Tbl_Catalogue[],9,FALSE)=0,"-",VLOOKUP(Tbl_Donnees[[#This Row],[Référence]]&amp;"",Tbl_Catalogue[],9,FALSE)),"-")</f>
        <v>-</v>
      </c>
      <c r="O109" s="5" t="str">
        <f>IFERROR(IF(VLOOKUP(Tbl_Donnees[[#This Row],[Référence]]&amp;"",Tbl_Catalogue[],11,FALSE)=0,"-",VLOOKUP(Tbl_Donnees[[#This Row],[Référence]]&amp;"",Tbl_Catalogue[],11,FALSE)),"-")</f>
        <v>-</v>
      </c>
      <c r="P109" s="2" t="str">
        <f>IFERROR(IF(VLOOKUP(Tbl_Donnees[[#This Row],[Référence]]&amp;"",Tbl_Catalogue[],12,FALSE)=0,"-",VLOOKUP(Tbl_Donnees[[#This Row],[Référence]]&amp;"",Tbl_Catalogue[],12,FALSE)),"-")</f>
        <v>-</v>
      </c>
      <c r="Q109" s="13" t="str">
        <f>IFERROR(IF(VLOOKUP(Tbl_Donnees[[#This Row],[Référence]]&amp;"",Tbl_Catalogue[],13,FALSE)=0,"-",VLOOKUP(Tbl_Donnees[[#This Row],[Référence]]&amp;"",Tbl_Catalogue[],13,FALSE)),"-")</f>
        <v>-</v>
      </c>
      <c r="R109" s="5"/>
    </row>
    <row r="110" spans="1:18" x14ac:dyDescent="0.2">
      <c r="A110" s="2" t="s">
        <v>356</v>
      </c>
      <c r="B110" s="5" t="s">
        <v>620</v>
      </c>
      <c r="C110" s="5" t="s">
        <v>60</v>
      </c>
      <c r="D110" s="6" t="str">
        <f>IFERROR(IF(VLOOKUP(Tbl_Donnees[[#This Row],[Référence]]&amp;"",Tbl_Catalogue[],3,FALSE)=0,"-",VLOOKUP(Tbl_Donnees[[#This Row],[Référence]]&amp;"",Tbl_Catalogue[],3,FALSE)),"-")</f>
        <v>CARTE REGUL. SIMODRIVE 611</v>
      </c>
      <c r="E110" s="6">
        <v>1</v>
      </c>
      <c r="F110" s="6" t="str">
        <f>IFERROR(IF(VLOOKUP(Tbl_Donnees[[#This Row],[Référence]]&amp;"",Tbl_Catalogue[],2,FALSE)=0,"-",VLOOKUP(Tbl_Donnees[[#This Row],[Référence]]&amp;"",Tbl_Catalogue[],2,FALSE)),"-")</f>
        <v>SIEMENS</v>
      </c>
      <c r="G110" s="20" t="s">
        <v>20</v>
      </c>
      <c r="H110" s="6" t="str">
        <f>IFERROR(IF(VLOOKUP(Tbl_Donnees[[#This Row],[Référence]]&amp;"",Tbl_Catalogue[],4,FALSE)=0,"-",VLOOKUP(Tbl_Donnees[[#This Row],[Référence]]&amp;"",Tbl_Catalogue[],4,FALSE)),"-")</f>
        <v>Pièce de rechange (03/11/2014)</v>
      </c>
      <c r="I110" s="2" t="str">
        <f>IFERROR(IF(VLOOKUP(Tbl_Donnees[[#This Row],[Référence]]&amp;"",Tbl_Catalogue[],5,FALSE)=0,"-",VLOOKUP(Tbl_Donnees[[#This Row],[Référence]]&amp;"",Tbl_Catalogue[],5,FALSE)),"INCONNU")</f>
        <v>RECHANGE</v>
      </c>
      <c r="J11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https://sieportal.siemens.com/fr-fr/products-services/detail/6SN1118-0NJ01-0AA1?tree=CatalogTree</v>
      </c>
      <c r="K110" s="2" t="str">
        <f>IFERROR(IF(VLOOKUP(Tbl_Donnees[[#This Row],[Référence]]&amp;"",Tbl_Catalogue[],7,FALSE)=0,"-",VLOOKUP(Tbl_Donnees[[#This Row],[Référence]]&amp;"",Tbl_Catalogue[],7,FALSE)),"-")</f>
        <v>INCONNU</v>
      </c>
      <c r="L110" s="5" t="str">
        <f>IFERROR(IF(VLOOKUP(Tbl_Donnees[[#This Row],[Référence]]&amp;"",Tbl_Catalogue[],10,FALSE)=0,"-",VLOOKUP(Tbl_Donnees[[#This Row],[Référence]]&amp;"",Tbl_Catalogue[],10,FALSE)),"-")</f>
        <v>-</v>
      </c>
      <c r="M110" s="2" t="str">
        <f>IFERROR(IF(VLOOKUP(Tbl_Donnees[[#This Row],[Référence]]&amp;"",Tbl_Catalogue[],8,FALSE)=0,"-",VLOOKUP(Tbl_Donnees[[#This Row],[Référence]]&amp;"",Tbl_Catalogue[],8,FALSE)),"-")</f>
        <v>-</v>
      </c>
      <c r="N110" s="5" t="str">
        <f>IFERROR(IF(VLOOKUP(Tbl_Donnees[[#This Row],[Référence]]&amp;"",Tbl_Catalogue[],9,FALSE)=0,"-",VLOOKUP(Tbl_Donnees[[#This Row],[Référence]]&amp;"",Tbl_Catalogue[],9,FALSE)),"-")</f>
        <v>-</v>
      </c>
      <c r="O110" s="5" t="str">
        <f>IFERROR(IF(VLOOKUP(Tbl_Donnees[[#This Row],[Référence]]&amp;"",Tbl_Catalogue[],11,FALSE)=0,"-",VLOOKUP(Tbl_Donnees[[#This Row],[Référence]]&amp;"",Tbl_Catalogue[],11,FALSE)),"-")</f>
        <v>-</v>
      </c>
      <c r="P110" s="2" t="str">
        <f>IFERROR(IF(VLOOKUP(Tbl_Donnees[[#This Row],[Référence]]&amp;"",Tbl_Catalogue[],12,FALSE)=0,"-",VLOOKUP(Tbl_Donnees[[#This Row],[Référence]]&amp;"",Tbl_Catalogue[],12,FALSE)),"-")</f>
        <v>-</v>
      </c>
      <c r="Q110" s="13" t="str">
        <f>IFERROR(IF(VLOOKUP(Tbl_Donnees[[#This Row],[Référence]]&amp;"",Tbl_Catalogue[],13,FALSE)=0,"-",VLOOKUP(Tbl_Donnees[[#This Row],[Référence]]&amp;"",Tbl_Catalogue[],13,FALSE)),"-")</f>
        <v>-</v>
      </c>
      <c r="R110" s="2"/>
    </row>
    <row r="111" spans="1:18" x14ac:dyDescent="0.2">
      <c r="A111" s="2" t="s">
        <v>356</v>
      </c>
      <c r="B111" s="5" t="s">
        <v>620</v>
      </c>
      <c r="C111" s="5" t="s">
        <v>60</v>
      </c>
      <c r="D111" s="6" t="str">
        <f>IFERROR(IF(VLOOKUP(Tbl_Donnees[[#This Row],[Référence]]&amp;"",Tbl_Catalogue[],3,FALSE)=0,"-",VLOOKUP(Tbl_Donnees[[#This Row],[Référence]]&amp;"",Tbl_Catalogue[],3,FALSE)),"-")</f>
        <v>TOLE RACCORD. SIMODRIVE 611</v>
      </c>
      <c r="E111" s="6">
        <v>1</v>
      </c>
      <c r="F111" s="6" t="str">
        <f>IFERROR(IF(VLOOKUP(Tbl_Donnees[[#This Row],[Référence]]&amp;"",Tbl_Catalogue[],2,FALSE)=0,"-",VLOOKUP(Tbl_Donnees[[#This Row],[Référence]]&amp;"",Tbl_Catalogue[],2,FALSE)),"-")</f>
        <v>SIEMENS</v>
      </c>
      <c r="G111" s="20" t="s">
        <v>21</v>
      </c>
      <c r="H111" s="6" t="str">
        <f>IFERROR(IF(VLOOKUP(Tbl_Donnees[[#This Row],[Référence]]&amp;"",Tbl_Catalogue[],4,FALSE)=0,"-",VLOOKUP(Tbl_Donnees[[#This Row],[Référence]]&amp;"",Tbl_Catalogue[],4,FALSE)),"-")</f>
        <v>Pièce de rechange (01/04/2015)</v>
      </c>
      <c r="I111" s="2" t="str">
        <f>IFERROR(IF(VLOOKUP(Tbl_Donnees[[#This Row],[Référence]]&amp;"",Tbl_Catalogue[],5,FALSE)=0,"-",VLOOKUP(Tbl_Donnees[[#This Row],[Référence]]&amp;"",Tbl_Catalogue[],5,FALSE)),"INCONNU")</f>
        <v>RECHANGE</v>
      </c>
      <c r="J11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https://sieportal.siemens.com/fr-fr/products-services/detail/6SN1162-0EA00-0CA0?tree=CatalogTree</v>
      </c>
      <c r="K111" s="2" t="str">
        <f>IFERROR(IF(VLOOKUP(Tbl_Donnees[[#This Row],[Référence]]&amp;"",Tbl_Catalogue[],7,FALSE)=0,"-",VLOOKUP(Tbl_Donnees[[#This Row],[Référence]]&amp;"",Tbl_Catalogue[],7,FALSE)),"-")</f>
        <v>INCONNU</v>
      </c>
      <c r="L111" s="5" t="str">
        <f>IFERROR(IF(VLOOKUP(Tbl_Donnees[[#This Row],[Référence]]&amp;"",Tbl_Catalogue[],10,FALSE)=0,"-",VLOOKUP(Tbl_Donnees[[#This Row],[Référence]]&amp;"",Tbl_Catalogue[],10,FALSE)),"-")</f>
        <v>-</v>
      </c>
      <c r="M111" s="2" t="str">
        <f>IFERROR(IF(VLOOKUP(Tbl_Donnees[[#This Row],[Référence]]&amp;"",Tbl_Catalogue[],8,FALSE)=0,"-",VLOOKUP(Tbl_Donnees[[#This Row],[Référence]]&amp;"",Tbl_Catalogue[],8,FALSE)),"-")</f>
        <v>-</v>
      </c>
      <c r="N111" s="5" t="str">
        <f>IFERROR(IF(VLOOKUP(Tbl_Donnees[[#This Row],[Référence]]&amp;"",Tbl_Catalogue[],9,FALSE)=0,"-",VLOOKUP(Tbl_Donnees[[#This Row],[Référence]]&amp;"",Tbl_Catalogue[],9,FALSE)),"-")</f>
        <v>-</v>
      </c>
      <c r="O111" s="5" t="str">
        <f>IFERROR(IF(VLOOKUP(Tbl_Donnees[[#This Row],[Référence]]&amp;"",Tbl_Catalogue[],11,FALSE)=0,"-",VLOOKUP(Tbl_Donnees[[#This Row],[Référence]]&amp;"",Tbl_Catalogue[],11,FALSE)),"-")</f>
        <v>-</v>
      </c>
      <c r="P111" s="2" t="str">
        <f>IFERROR(IF(VLOOKUP(Tbl_Donnees[[#This Row],[Référence]]&amp;"",Tbl_Catalogue[],12,FALSE)=0,"-",VLOOKUP(Tbl_Donnees[[#This Row],[Référence]]&amp;"",Tbl_Catalogue[],12,FALSE)),"-")</f>
        <v>-</v>
      </c>
      <c r="Q111" s="13" t="str">
        <f>IFERROR(IF(VLOOKUP(Tbl_Donnees[[#This Row],[Référence]]&amp;"",Tbl_Catalogue[],13,FALSE)=0,"-",VLOOKUP(Tbl_Donnees[[#This Row],[Référence]]&amp;"",Tbl_Catalogue[],13,FALSE)),"-")</f>
        <v>-</v>
      </c>
      <c r="R111" s="5"/>
    </row>
    <row r="112" spans="1:18" x14ac:dyDescent="0.2">
      <c r="A112" s="2" t="s">
        <v>356</v>
      </c>
      <c r="B112" s="5" t="s">
        <v>620</v>
      </c>
      <c r="C112" s="5" t="s">
        <v>60</v>
      </c>
      <c r="D112" s="6" t="str">
        <f>IFERROR(IF(VLOOKUP(Tbl_Donnees[[#This Row],[Référence]]&amp;"",Tbl_Catalogue[],3,FALSE)=0,"-",VLOOKUP(Tbl_Donnees[[#This Row],[Référence]]&amp;"",Tbl_Catalogue[],3,FALSE)),"-")</f>
        <v>TOLE RACCORD. SIMODRIVE 611</v>
      </c>
      <c r="E112" s="6">
        <v>1</v>
      </c>
      <c r="F112" s="6" t="str">
        <f>IFERROR(IF(VLOOKUP(Tbl_Donnees[[#This Row],[Référence]]&amp;"",Tbl_Catalogue[],2,FALSE)=0,"-",VLOOKUP(Tbl_Donnees[[#This Row],[Référence]]&amp;"",Tbl_Catalogue[],2,FALSE)),"-")</f>
        <v>SIEMENS</v>
      </c>
      <c r="G112" s="20" t="s">
        <v>84</v>
      </c>
      <c r="H112" s="6" t="str">
        <f>IFERROR(IF(VLOOKUP(Tbl_Donnees[[#This Row],[Référence]]&amp;"",Tbl_Catalogue[],4,FALSE)=0,"-",VLOOKUP(Tbl_Donnees[[#This Row],[Référence]]&amp;"",Tbl_Catalogue[],4,FALSE)),"-")</f>
        <v>Pièce de rechange (01/04/2015)</v>
      </c>
      <c r="I112" s="2" t="str">
        <f>IFERROR(IF(VLOOKUP(Tbl_Donnees[[#This Row],[Référence]]&amp;"",Tbl_Catalogue[],5,FALSE)=0,"-",VLOOKUP(Tbl_Donnees[[#This Row],[Référence]]&amp;"",Tbl_Catalogue[],5,FALSE)),"INCONNU")</f>
        <v>RECHANGE</v>
      </c>
      <c r="J11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https://sieportal.siemens.com/fr-fr/products-services/detail/6SN1162-0EA00-0AA0?tree=CatalogTree</v>
      </c>
      <c r="K112" s="2" t="str">
        <f>IFERROR(IF(VLOOKUP(Tbl_Donnees[[#This Row],[Référence]]&amp;"",Tbl_Catalogue[],7,FALSE)=0,"-",VLOOKUP(Tbl_Donnees[[#This Row],[Référence]]&amp;"",Tbl_Catalogue[],7,FALSE)),"-")</f>
        <v>INCONNU</v>
      </c>
      <c r="L112" s="5" t="str">
        <f>IFERROR(IF(VLOOKUP(Tbl_Donnees[[#This Row],[Référence]]&amp;"",Tbl_Catalogue[],10,FALSE)=0,"-",VLOOKUP(Tbl_Donnees[[#This Row],[Référence]]&amp;"",Tbl_Catalogue[],10,FALSE)),"-")</f>
        <v>-</v>
      </c>
      <c r="M112" s="2" t="str">
        <f>IFERROR(IF(VLOOKUP(Tbl_Donnees[[#This Row],[Référence]]&amp;"",Tbl_Catalogue[],8,FALSE)=0,"-",VLOOKUP(Tbl_Donnees[[#This Row],[Référence]]&amp;"",Tbl_Catalogue[],8,FALSE)),"-")</f>
        <v>-</v>
      </c>
      <c r="N112" s="5" t="str">
        <f>IFERROR(IF(VLOOKUP(Tbl_Donnees[[#This Row],[Référence]]&amp;"",Tbl_Catalogue[],9,FALSE)=0,"-",VLOOKUP(Tbl_Donnees[[#This Row],[Référence]]&amp;"",Tbl_Catalogue[],9,FALSE)),"-")</f>
        <v>-</v>
      </c>
      <c r="O112" s="5" t="str">
        <f>IFERROR(IF(VLOOKUP(Tbl_Donnees[[#This Row],[Référence]]&amp;"",Tbl_Catalogue[],11,FALSE)=0,"-",VLOOKUP(Tbl_Donnees[[#This Row],[Référence]]&amp;"",Tbl_Catalogue[],11,FALSE)),"-")</f>
        <v>-</v>
      </c>
      <c r="P112" s="2" t="str">
        <f>IFERROR(IF(VLOOKUP(Tbl_Donnees[[#This Row],[Référence]]&amp;"",Tbl_Catalogue[],12,FALSE)=0,"-",VLOOKUP(Tbl_Donnees[[#This Row],[Référence]]&amp;"",Tbl_Catalogue[],12,FALSE)),"-")</f>
        <v>-</v>
      </c>
      <c r="Q112" s="13" t="str">
        <f>IFERROR(IF(VLOOKUP(Tbl_Donnees[[#This Row],[Référence]]&amp;"",Tbl_Catalogue[],13,FALSE)=0,"-",VLOOKUP(Tbl_Donnees[[#This Row],[Référence]]&amp;"",Tbl_Catalogue[],13,FALSE)),"-")</f>
        <v>-</v>
      </c>
      <c r="R112" s="2"/>
    </row>
    <row r="113" spans="1:18" x14ac:dyDescent="0.2">
      <c r="A113" s="2" t="s">
        <v>356</v>
      </c>
      <c r="B113" s="5" t="s">
        <v>620</v>
      </c>
      <c r="C113" s="5" t="s">
        <v>60</v>
      </c>
      <c r="D113" s="6" t="str">
        <f>IFERROR(IF(VLOOKUP(Tbl_Donnees[[#This Row],[Référence]]&amp;"",Tbl_Catalogue[],3,FALSE)=0,"-",VLOOKUP(Tbl_Donnees[[#This Row],[Référence]]&amp;"",Tbl_Catalogue[],3,FALSE)),"-")</f>
        <v>MOTEUR BROCHE 1PH7</v>
      </c>
      <c r="E113" s="6">
        <v>1</v>
      </c>
      <c r="F113" s="6" t="str">
        <f>IFERROR(IF(VLOOKUP(Tbl_Donnees[[#This Row],[Référence]]&amp;"",Tbl_Catalogue[],2,FALSE)=0,"-",VLOOKUP(Tbl_Donnees[[#This Row],[Référence]]&amp;"",Tbl_Catalogue[],2,FALSE)),"-")</f>
        <v>SIEMENS</v>
      </c>
      <c r="G113" s="20" t="s">
        <v>87</v>
      </c>
      <c r="H113" s="6" t="str">
        <f>IFERROR(IF(VLOOKUP(Tbl_Donnees[[#This Row],[Référence]]&amp;"",Tbl_Catalogue[],4,FALSE)=0,"-",VLOOKUP(Tbl_Donnees[[#This Row],[Référence]]&amp;"",Tbl_Catalogue[],4,FALSE)),"-")</f>
        <v>PIÈCE DE RECHANGE (01/10/2015)</v>
      </c>
      <c r="I113" s="2" t="str">
        <f>IFERROR(IF(VLOOKUP(Tbl_Donnees[[#This Row],[Référence]]&amp;"",Tbl_Catalogue[],5,FALSE)=0,"-",VLOOKUP(Tbl_Donnees[[#This Row],[Référence]]&amp;"",Tbl_Catalogue[],5,FALSE)),"INCONNU")</f>
        <v>RECHANGE</v>
      </c>
      <c r="J11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https://sieportal.siemens.com/fr-fr/products-services/detail/1PH7133-2NG00-0BJ0?tree=CatalogTree</v>
      </c>
      <c r="K113" s="2" t="str">
        <f>IFERROR(IF(VLOOKUP(Tbl_Donnees[[#This Row],[Référence]]&amp;"",Tbl_Catalogue[],7,FALSE)=0,"-",VLOOKUP(Tbl_Donnees[[#This Row],[Référence]]&amp;"",Tbl_Catalogue[],7,FALSE)),"-")</f>
        <v>INCONNU</v>
      </c>
      <c r="L113" s="5" t="str">
        <f>IFERROR(IF(VLOOKUP(Tbl_Donnees[[#This Row],[Référence]]&amp;"",Tbl_Catalogue[],10,FALSE)=0,"-",VLOOKUP(Tbl_Donnees[[#This Row],[Référence]]&amp;"",Tbl_Catalogue[],10,FALSE)),"-")</f>
        <v>-</v>
      </c>
      <c r="M113" s="2" t="str">
        <f>IFERROR(IF(VLOOKUP(Tbl_Donnees[[#This Row],[Référence]]&amp;"",Tbl_Catalogue[],8,FALSE)=0,"-",VLOOKUP(Tbl_Donnees[[#This Row],[Référence]]&amp;"",Tbl_Catalogue[],8,FALSE)),"-")</f>
        <v>-</v>
      </c>
      <c r="N113" s="5" t="str">
        <f>IFERROR(IF(VLOOKUP(Tbl_Donnees[[#This Row],[Référence]]&amp;"",Tbl_Catalogue[],9,FALSE)=0,"-",VLOOKUP(Tbl_Donnees[[#This Row],[Référence]]&amp;"",Tbl_Catalogue[],9,FALSE)),"-")</f>
        <v>-</v>
      </c>
      <c r="O113" s="5" t="str">
        <f>IFERROR(IF(VLOOKUP(Tbl_Donnees[[#This Row],[Référence]]&amp;"",Tbl_Catalogue[],11,FALSE)=0,"-",VLOOKUP(Tbl_Donnees[[#This Row],[Référence]]&amp;"",Tbl_Catalogue[],11,FALSE)),"-")</f>
        <v>-</v>
      </c>
      <c r="P113" s="2" t="str">
        <f>IFERROR(IF(VLOOKUP(Tbl_Donnees[[#This Row],[Référence]]&amp;"",Tbl_Catalogue[],12,FALSE)=0,"-",VLOOKUP(Tbl_Donnees[[#This Row],[Référence]]&amp;"",Tbl_Catalogue[],12,FALSE)),"-")</f>
        <v>-</v>
      </c>
      <c r="Q113" s="13" t="str">
        <f>IFERROR(IF(VLOOKUP(Tbl_Donnees[[#This Row],[Référence]]&amp;"",Tbl_Catalogue[],13,FALSE)=0,"-",VLOOKUP(Tbl_Donnees[[#This Row],[Référence]]&amp;"",Tbl_Catalogue[],13,FALSE)),"-")</f>
        <v>-</v>
      </c>
      <c r="R113" s="5"/>
    </row>
    <row r="114" spans="1:18" x14ac:dyDescent="0.2">
      <c r="A114" s="2" t="s">
        <v>356</v>
      </c>
      <c r="B114" s="5" t="s">
        <v>620</v>
      </c>
      <c r="C114" s="5" t="s">
        <v>60</v>
      </c>
      <c r="D114" s="6" t="str">
        <f>IFERROR(IF(VLOOKUP(Tbl_Donnees[[#This Row],[Référence]]&amp;"",Tbl_Catalogue[],3,FALSE)=0,"-",VLOOKUP(Tbl_Donnees[[#This Row],[Référence]]&amp;"",Tbl_Catalogue[],3,FALSE)),"-")</f>
        <v>PLC S7-300 CPU 314</v>
      </c>
      <c r="E114" s="6">
        <v>1</v>
      </c>
      <c r="F114" s="6" t="str">
        <f>IFERROR(IF(VLOOKUP(Tbl_Donnees[[#This Row],[Référence]]&amp;"",Tbl_Catalogue[],2,FALSE)=0,"-",VLOOKUP(Tbl_Donnees[[#This Row],[Référence]]&amp;"",Tbl_Catalogue[],2,FALSE)),"-")</f>
        <v>SIEMENS</v>
      </c>
      <c r="G114" s="20" t="s">
        <v>5</v>
      </c>
      <c r="H114" s="6" t="str">
        <f>IFERROR(IF(VLOOKUP(Tbl_Donnees[[#This Row],[Référence]]&amp;"",Tbl_Catalogue[],4,FALSE)=0,"-",VLOOKUP(Tbl_Donnees[[#This Row],[Référence]]&amp;"",Tbl_Catalogue[],4,FALSE)),"-")</f>
        <v>Fin de vie du produit (01/10/2022)</v>
      </c>
      <c r="I114" s="2" t="str">
        <f>IFERROR(IF(VLOOKUP(Tbl_Donnees[[#This Row],[Référence]]&amp;"",Tbl_Catalogue[],5,FALSE)=0,"-",VLOOKUP(Tbl_Donnees[[#This Row],[Référence]]&amp;"",Tbl_Catalogue[],5,FALSE)),"INCONNU")</f>
        <v>OBSOLETE</v>
      </c>
      <c r="J11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https://sieportal.siemens.com/fr-fr/products-services/detail/6ES7314-1AE04-0AB0?tree=CatalogTree</v>
      </c>
      <c r="K114" s="2" t="str">
        <f>IFERROR(IF(VLOOKUP(Tbl_Donnees[[#This Row],[Référence]]&amp;"",Tbl_Catalogue[],7,FALSE)=0,"-",VLOOKUP(Tbl_Donnees[[#This Row],[Référence]]&amp;"",Tbl_Catalogue[],7,FALSE)),"-")</f>
        <v>NON</v>
      </c>
      <c r="L114" s="5" t="str">
        <f>IFERROR(IF(VLOOKUP(Tbl_Donnees[[#This Row],[Référence]]&amp;"",Tbl_Catalogue[],10,FALSE)=0,"-",VLOOKUP(Tbl_Donnees[[#This Row],[Référence]]&amp;"",Tbl_Catalogue[],10,FALSE)),"-")</f>
        <v>-</v>
      </c>
      <c r="M114" s="2" t="str">
        <f>IFERROR(IF(VLOOKUP(Tbl_Donnees[[#This Row],[Référence]]&amp;"",Tbl_Catalogue[],8,FALSE)=0,"-",VLOOKUP(Tbl_Donnees[[#This Row],[Référence]]&amp;"",Tbl_Catalogue[],8,FALSE)),"-")</f>
        <v>-</v>
      </c>
      <c r="N114" s="5" t="str">
        <f>IFERROR(IF(VLOOKUP(Tbl_Donnees[[#This Row],[Référence]]&amp;"",Tbl_Catalogue[],9,FALSE)=0,"-",VLOOKUP(Tbl_Donnees[[#This Row],[Référence]]&amp;"",Tbl_Catalogue[],9,FALSE)),"-")</f>
        <v>-</v>
      </c>
      <c r="O114" s="5" t="str">
        <f>IFERROR(IF(VLOOKUP(Tbl_Donnees[[#This Row],[Référence]]&amp;"",Tbl_Catalogue[],11,FALSE)=0,"-",VLOOKUP(Tbl_Donnees[[#This Row],[Référence]]&amp;"",Tbl_Catalogue[],11,FALSE)),"-")</f>
        <v>-</v>
      </c>
      <c r="P114" s="2" t="str">
        <f>IFERROR(IF(VLOOKUP(Tbl_Donnees[[#This Row],[Référence]]&amp;"",Tbl_Catalogue[],12,FALSE)=0,"-",VLOOKUP(Tbl_Donnees[[#This Row],[Référence]]&amp;"",Tbl_Catalogue[],12,FALSE)),"-")</f>
        <v>-</v>
      </c>
      <c r="Q114" s="13" t="str">
        <f>IFERROR(IF(VLOOKUP(Tbl_Donnees[[#This Row],[Référence]]&amp;"",Tbl_Catalogue[],13,FALSE)=0,"-",VLOOKUP(Tbl_Donnees[[#This Row],[Référence]]&amp;"",Tbl_Catalogue[],13,FALSE)),"-")</f>
        <v>-</v>
      </c>
      <c r="R114" s="2"/>
    </row>
    <row r="115" spans="1:18" x14ac:dyDescent="0.2">
      <c r="A115" s="2" t="s">
        <v>356</v>
      </c>
      <c r="B115" s="5" t="s">
        <v>620</v>
      </c>
      <c r="C115" s="5" t="s">
        <v>60</v>
      </c>
      <c r="D115" s="6" t="str">
        <f>IFERROR(IF(VLOOKUP(Tbl_Donnees[[#This Row],[Référence]]&amp;"",Tbl_Catalogue[],3,FALSE)=0,"-",VLOOKUP(Tbl_Donnees[[#This Row],[Référence]]&amp;"",Tbl_Catalogue[],3,FALSE)),"-")</f>
        <v>MOD. COMPTAGE FM350</v>
      </c>
      <c r="E115" s="6">
        <v>2</v>
      </c>
      <c r="F115" s="6" t="str">
        <f>IFERROR(IF(VLOOKUP(Tbl_Donnees[[#This Row],[Référence]]&amp;"",Tbl_Catalogue[],2,FALSE)=0,"-",VLOOKUP(Tbl_Donnees[[#This Row],[Référence]]&amp;"",Tbl_Catalogue[],2,FALSE)),"-")</f>
        <v>SIEMENS</v>
      </c>
      <c r="G115" s="20" t="s">
        <v>7</v>
      </c>
      <c r="H115" s="6" t="str">
        <f>IFERROR(IF(VLOOKUP(Tbl_Donnees[[#This Row],[Référence]]&amp;"",Tbl_Catalogue[],4,FALSE)=0,"-",VLOOKUP(Tbl_Donnees[[#This Row],[Référence]]&amp;"",Tbl_Catalogue[],4,FALSE)),"-")</f>
        <v>Fin de vie du produit (01/10/2011)</v>
      </c>
      <c r="I115" s="2" t="str">
        <f>IFERROR(IF(VLOOKUP(Tbl_Donnees[[#This Row],[Référence]]&amp;"",Tbl_Catalogue[],5,FALSE)=0,"-",VLOOKUP(Tbl_Donnees[[#This Row],[Référence]]&amp;"",Tbl_Catalogue[],5,FALSE)),"INCONNU")</f>
        <v>OBSOLETE</v>
      </c>
      <c r="J115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https://sieportal.siemens.com/fr-ww/products-services/detail/6ES7350-1AH02-0AE0?tree=CatalogTree</v>
      </c>
      <c r="K115" s="2" t="str">
        <f>IFERROR(IF(VLOOKUP(Tbl_Donnees[[#This Row],[Référence]]&amp;"",Tbl_Catalogue[],7,FALSE)=0,"-",VLOOKUP(Tbl_Donnees[[#This Row],[Référence]]&amp;"",Tbl_Catalogue[],7,FALSE)),"-")</f>
        <v>OUI</v>
      </c>
      <c r="L115" s="5" t="str">
        <f>IFERROR(IF(VLOOKUP(Tbl_Donnees[[#This Row],[Référence]]&amp;"",Tbl_Catalogue[],10,FALSE)=0,"-",VLOOKUP(Tbl_Donnees[[#This Row],[Référence]]&amp;"",Tbl_Catalogue[],10,FALSE)),"-")</f>
        <v>-</v>
      </c>
      <c r="M115" s="2" t="str">
        <f>IFERROR(IF(VLOOKUP(Tbl_Donnees[[#This Row],[Référence]]&amp;"",Tbl_Catalogue[],8,FALSE)=0,"-",VLOOKUP(Tbl_Donnees[[#This Row],[Référence]]&amp;"",Tbl_Catalogue[],8,FALSE)),"-")</f>
        <v>6ES7350-1AH03-0AE0</v>
      </c>
      <c r="N115" s="5" t="str">
        <f>IFERROR(IF(VLOOKUP(Tbl_Donnees[[#This Row],[Référence]]&amp;"",Tbl_Catalogue[],9,FALSE)=0,"-",VLOOKUP(Tbl_Donnees[[#This Row],[Référence]]&amp;"",Tbl_Catalogue[],9,FALSE)),"-")</f>
        <v>SIEMENS</v>
      </c>
      <c r="O115" s="5" t="str">
        <f>IFERROR(IF(VLOOKUP(Tbl_Donnees[[#This Row],[Référence]]&amp;"",Tbl_Catalogue[],11,FALSE)=0,"-",VLOOKUP(Tbl_Donnees[[#This Row],[Référence]]&amp;"",Tbl_Catalogue[],11,FALSE)),"-")</f>
        <v>Pièce de rechange (01/10/2025)</v>
      </c>
      <c r="P115" s="2" t="str">
        <f>IFERROR(IF(VLOOKUP(Tbl_Donnees[[#This Row],[Référence]]&amp;"",Tbl_Catalogue[],12,FALSE)=0,"-",VLOOKUP(Tbl_Donnees[[#This Row],[Référence]]&amp;"",Tbl_Catalogue[],12,FALSE)),"-")</f>
        <v>RECHANGE</v>
      </c>
      <c r="Q115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https://sieportal.siemens.com/fr-ww/products-services/detail/6ES7350-1AH03-0AE0?tree=CatalogTree</v>
      </c>
      <c r="R115" s="5"/>
    </row>
    <row r="116" spans="1:18" x14ac:dyDescent="0.2">
      <c r="A116" s="2" t="s">
        <v>356</v>
      </c>
      <c r="B116" s="5" t="s">
        <v>620</v>
      </c>
      <c r="C116" s="5" t="s">
        <v>60</v>
      </c>
      <c r="D116" s="6" t="str">
        <f>IFERROR(IF(VLOOKUP(Tbl_Donnees[[#This Row],[Référence]]&amp;"",Tbl_Catalogue[],3,FALSE)=0,"-",VLOOKUP(Tbl_Donnees[[#This Row],[Référence]]&amp;"",Tbl_Catalogue[],3,FALSE)),"-")</f>
        <v>VAR. VITESSE SIMODRIVE 611</v>
      </c>
      <c r="E116" s="6">
        <v>1</v>
      </c>
      <c r="F116" s="6" t="str">
        <f>IFERROR(IF(VLOOKUP(Tbl_Donnees[[#This Row],[Référence]]&amp;"",Tbl_Catalogue[],2,FALSE)=0,"-",VLOOKUP(Tbl_Donnees[[#This Row],[Référence]]&amp;"",Tbl_Catalogue[],2,FALSE)),"-")</f>
        <v>SIEMENS</v>
      </c>
      <c r="G116" s="20" t="s">
        <v>16</v>
      </c>
      <c r="H116" s="6" t="str">
        <f>IFERROR(IF(VLOOKUP(Tbl_Donnees[[#This Row],[Référence]]&amp;"",Tbl_Catalogue[],4,FALSE)=0,"-",VLOOKUP(Tbl_Donnees[[#This Row],[Référence]]&amp;"",Tbl_Catalogue[],4,FALSE)),"-")</f>
        <v>Produit obsolète depuis le 30/09/2014</v>
      </c>
      <c r="I116" s="2" t="str">
        <f>IFERROR(IF(VLOOKUP(Tbl_Donnees[[#This Row],[Référence]]&amp;"",Tbl_Catalogue[],5,FALSE)=0,"-",VLOOKUP(Tbl_Donnees[[#This Row],[Référence]]&amp;"",Tbl_Catalogue[],5,FALSE)),"INCONNU")</f>
        <v>OBSOLETE</v>
      </c>
      <c r="J116" s="3" t="str">
        <f>IFERROR(IF(VLOOKUP(Tbl_Donnees[[#This Row],[Référence]]&amp;"",Tbl_Catalogue[],6,FALSE)=0,"-",VLOOKUP(Tbl_Donnees[[#This Row],[Référence]]&amp;"",Tbl_Catalogue[],6,FALSE)),"-")</f>
        <v>https://support.industry.siemens.com/cs/pd/44658?pdti=pi&amp;dl=fr&amp;lc=fr-FR</v>
      </c>
      <c r="K116" s="2" t="str">
        <f>IFERROR(IF(VLOOKUP(Tbl_Donnees[[#This Row],[Référence]]&amp;"",Tbl_Catalogue[],7,FALSE)=0,"-",VLOOKUP(Tbl_Donnees[[#This Row],[Référence]]&amp;"",Tbl_Catalogue[],7,FALSE)),"-")</f>
        <v>OUI</v>
      </c>
      <c r="L116" s="5" t="str">
        <f>IFERROR(IF(VLOOKUP(Tbl_Donnees[[#This Row],[Référence]]&amp;"",Tbl_Catalogue[],10,FALSE)=0,"-",VLOOKUP(Tbl_Donnees[[#This Row],[Référence]]&amp;"",Tbl_Catalogue[],10,FALSE)),"-")</f>
        <v>-</v>
      </c>
      <c r="M116" s="2" t="str">
        <f>IFERROR(IF(VLOOKUP(Tbl_Donnees[[#This Row],[Référence]]&amp;"",Tbl_Catalogue[],8,FALSE)=0,"-",VLOOKUP(Tbl_Donnees[[#This Row],[Référence]]&amp;"",Tbl_Catalogue[],8,FALSE)),"-")</f>
        <v>6SN1145-1BA02-0CA2</v>
      </c>
      <c r="N116" s="5" t="str">
        <f>IFERROR(IF(VLOOKUP(Tbl_Donnees[[#This Row],[Référence]]&amp;"",Tbl_Catalogue[],9,FALSE)=0,"-",VLOOKUP(Tbl_Donnees[[#This Row],[Référence]]&amp;"",Tbl_Catalogue[],9,FALSE)),"-")</f>
        <v>SIEMENS</v>
      </c>
      <c r="O116" s="5" t="str">
        <f>IFERROR(IF(VLOOKUP(Tbl_Donnees[[#This Row],[Référence]]&amp;"",Tbl_Catalogue[],11,FALSE)=0,"-",VLOOKUP(Tbl_Donnees[[#This Row],[Référence]]&amp;"",Tbl_Catalogue[],11,FALSE)),"-")</f>
        <v xml:space="preserve"> Pièce de rechange (01/04/2015)</v>
      </c>
      <c r="P116" s="2" t="str">
        <f>IFERROR(IF(VLOOKUP(Tbl_Donnees[[#This Row],[Référence]]&amp;"",Tbl_Catalogue[],12,FALSE)=0,"-",VLOOKUP(Tbl_Donnees[[#This Row],[Référence]]&amp;"",Tbl_Catalogue[],12,FALSE)),"-")</f>
        <v>RECHANGE</v>
      </c>
      <c r="Q116" s="13" t="str">
        <f>IFERROR(IF(VLOOKUP(Tbl_Donnees[[#This Row],[Référence]]&amp;"",Tbl_Catalogue[],13,FALSE)=0,"-",VLOOKUP(Tbl_Donnees[[#This Row],[Référence]]&amp;"",Tbl_Catalogue[],13,FALSE)),"-")</f>
        <v>https://sieportal.siemens.com/en-ww/products-services/detail/6SN1145-1BA02-0CA2?tree=CatalogTree</v>
      </c>
      <c r="R116" s="2"/>
    </row>
    <row r="117" spans="1:18" x14ac:dyDescent="0.2">
      <c r="A117" s="2" t="s">
        <v>356</v>
      </c>
      <c r="B117" s="5" t="s">
        <v>620</v>
      </c>
      <c r="C117" s="5" t="s">
        <v>60</v>
      </c>
      <c r="D117" s="6" t="str">
        <f>IFERROR(IF(VLOOKUP(Tbl_Donnees[[#This Row],[Référence]]&amp;"",Tbl_Catalogue[],3,FALSE)=0,"-",VLOOKUP(Tbl_Donnees[[#This Row],[Référence]]&amp;"",Tbl_Catalogue[],3,FALSE)),"-")</f>
        <v>VAR. BROCHE SIMODRIVE</v>
      </c>
      <c r="E117" s="6">
        <v>1</v>
      </c>
      <c r="F117" s="6" t="str">
        <f>IFERROR(IF(VLOOKUP(Tbl_Donnees[[#This Row],[Référence]]&amp;"",Tbl_Catalogue[],2,FALSE)=0,"-",VLOOKUP(Tbl_Donnees[[#This Row],[Référence]]&amp;"",Tbl_Catalogue[],2,FALSE)),"-")</f>
        <v>SIEMENS</v>
      </c>
      <c r="G117" s="20" t="s">
        <v>17</v>
      </c>
      <c r="H117" s="6" t="str">
        <f>IFERROR(IF(VLOOKUP(Tbl_Donnees[[#This Row],[Référence]]&amp;"",Tbl_Catalogue[],4,FALSE)=0,"-",VLOOKUP(Tbl_Donnees[[#This Row],[Référence]]&amp;"",Tbl_Catalogue[],4,FALSE)),"-")</f>
        <v>Produit obsolète depuis le 30/09/2014</v>
      </c>
      <c r="I117" s="2" t="str">
        <f>IFERROR(IF(VLOOKUP(Tbl_Donnees[[#This Row],[Référence]]&amp;"",Tbl_Catalogue[],5,FALSE)=0,"-",VLOOKUP(Tbl_Donnees[[#This Row],[Référence]]&amp;"",Tbl_Catalogue[],5,FALSE)),"INCONNU")</f>
        <v>OBSOLETE</v>
      </c>
      <c r="J117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https://sieportal.siemens.com/en-ww/products-services/detail/6SN1123-1AA00-0LA1?tree=CatalogTree</v>
      </c>
      <c r="K117" s="2" t="str">
        <f>IFERROR(IF(VLOOKUP(Tbl_Donnees[[#This Row],[Référence]]&amp;"",Tbl_Catalogue[],7,FALSE)=0,"-",VLOOKUP(Tbl_Donnees[[#This Row],[Référence]]&amp;"",Tbl_Catalogue[],7,FALSE)),"-")</f>
        <v>OUI</v>
      </c>
      <c r="L117" s="5" t="str">
        <f>IFERROR(IF(VLOOKUP(Tbl_Donnees[[#This Row],[Référence]]&amp;"",Tbl_Catalogue[],10,FALSE)=0,"-",VLOOKUP(Tbl_Donnees[[#This Row],[Référence]]&amp;"",Tbl_Catalogue[],10,FALSE)),"-")</f>
        <v>-</v>
      </c>
      <c r="M117" s="2" t="str">
        <f>IFERROR(IF(VLOOKUP(Tbl_Donnees[[#This Row],[Référence]]&amp;"",Tbl_Catalogue[],8,FALSE)=0,"-",VLOOKUP(Tbl_Donnees[[#This Row],[Référence]]&amp;"",Tbl_Catalogue[],8,FALSE)),"-")</f>
        <v>6SN1123-1AA00-0LA3</v>
      </c>
      <c r="N117" s="5" t="str">
        <f>IFERROR(IF(VLOOKUP(Tbl_Donnees[[#This Row],[Référence]]&amp;"",Tbl_Catalogue[],9,FALSE)=0,"-",VLOOKUP(Tbl_Donnees[[#This Row],[Référence]]&amp;"",Tbl_Catalogue[],9,FALSE)),"-")</f>
        <v>SIEMENS</v>
      </c>
      <c r="O117" s="5" t="str">
        <f>IFERROR(IF(VLOOKUP(Tbl_Donnees[[#This Row],[Référence]]&amp;"",Tbl_Catalogue[],11,FALSE)=0,"-",VLOOKUP(Tbl_Donnees[[#This Row],[Référence]]&amp;"",Tbl_Catalogue[],11,FALSE)),"-")</f>
        <v xml:space="preserve"> Pièce de rechange (01/04/2015)</v>
      </c>
      <c r="P117" s="2" t="str">
        <f>IFERROR(IF(VLOOKUP(Tbl_Donnees[[#This Row],[Référence]]&amp;"",Tbl_Catalogue[],12,FALSE)=0,"-",VLOOKUP(Tbl_Donnees[[#This Row],[Référence]]&amp;"",Tbl_Catalogue[],12,FALSE)),"-")</f>
        <v>RECHANGE</v>
      </c>
      <c r="Q117" s="13" t="str">
        <f>IFERROR(IF(VLOOKUP(Tbl_Donnees[[#This Row],[Référence]]&amp;"",Tbl_Catalogue[],13,FALSE)=0,"-",VLOOKUP(Tbl_Donnees[[#This Row],[Référence]]&amp;"",Tbl_Catalogue[],13,FALSE)),"-")</f>
        <v>https://sieportal.siemens.com/en-ww/products-services/detail/6SN1123-1AA00-0LA3?tree=CatalogTree</v>
      </c>
      <c r="R117" s="5"/>
    </row>
    <row r="118" spans="1:18" x14ac:dyDescent="0.2">
      <c r="A118" s="2" t="s">
        <v>356</v>
      </c>
      <c r="B118" s="5" t="s">
        <v>620</v>
      </c>
      <c r="C118" s="5" t="s">
        <v>60</v>
      </c>
      <c r="D118" s="6" t="str">
        <f>IFERROR(IF(VLOOKUP(Tbl_Donnees[[#This Row],[Référence]]&amp;"",Tbl_Catalogue[],3,FALSE)=0,"-",VLOOKUP(Tbl_Donnees[[#This Row],[Référence]]&amp;"",Tbl_Catalogue[],3,FALSE)),"-")</f>
        <v>VAR. AVANCE SIMODRIVE</v>
      </c>
      <c r="E118" s="6">
        <v>1</v>
      </c>
      <c r="F118" s="6" t="str">
        <f>IFERROR(IF(VLOOKUP(Tbl_Donnees[[#This Row],[Référence]]&amp;"",Tbl_Catalogue[],2,FALSE)=0,"-",VLOOKUP(Tbl_Donnees[[#This Row],[Référence]]&amp;"",Tbl_Catalogue[],2,FALSE)),"-")</f>
        <v>SIEMENS</v>
      </c>
      <c r="G118" s="20" t="s">
        <v>18</v>
      </c>
      <c r="H118" s="6" t="str">
        <f>IFERROR(IF(VLOOKUP(Tbl_Donnees[[#This Row],[Référence]]&amp;"",Tbl_Catalogue[],4,FALSE)=0,"-",VLOOKUP(Tbl_Donnees[[#This Row],[Référence]]&amp;"",Tbl_Catalogue[],4,FALSE)),"-")</f>
        <v>Produit obsolète depuis le 30/09/2015</v>
      </c>
      <c r="I118" s="2" t="str">
        <f>IFERROR(IF(VLOOKUP(Tbl_Donnees[[#This Row],[Référence]]&amp;"",Tbl_Catalogue[],5,FALSE)=0,"-",VLOOKUP(Tbl_Donnees[[#This Row],[Référence]]&amp;"",Tbl_Catalogue[],5,FALSE)),"INCONNU")</f>
        <v>OBSOLETE</v>
      </c>
      <c r="J118" s="3" t="str">
        <f>IFERROR(IF(VLOOKUP(Tbl_Donnees[[#This Row],[Référence]]&amp;"",Tbl_Catalogue[],6,FALSE)=0,"-",VLOOKUP(Tbl_Donnees[[#This Row],[Référence]]&amp;"",Tbl_Catalogue[],6,FALSE)),"-")</f>
        <v>https://support.industry.siemens.com/cs/pd/480058?pdti=pi&amp;dl=fr&amp;lc=fr-FR</v>
      </c>
      <c r="K118" s="2" t="str">
        <f>IFERROR(IF(VLOOKUP(Tbl_Donnees[[#This Row],[Référence]]&amp;"",Tbl_Catalogue[],7,FALSE)=0,"-",VLOOKUP(Tbl_Donnees[[#This Row],[Référence]]&amp;"",Tbl_Catalogue[],7,FALSE)),"-")</f>
        <v>OUI</v>
      </c>
      <c r="L118" s="5" t="str">
        <f>IFERROR(IF(VLOOKUP(Tbl_Donnees[[#This Row],[Référence]]&amp;"",Tbl_Catalogue[],10,FALSE)=0,"-",VLOOKUP(Tbl_Donnees[[#This Row],[Référence]]&amp;"",Tbl_Catalogue[],10,FALSE)),"-")</f>
        <v>-</v>
      </c>
      <c r="M118" s="2" t="str">
        <f>IFERROR(IF(VLOOKUP(Tbl_Donnees[[#This Row],[Référence]]&amp;"",Tbl_Catalogue[],8,FALSE)=0,"-",VLOOKUP(Tbl_Donnees[[#This Row],[Référence]]&amp;"",Tbl_Catalogue[],8,FALSE)),"-")</f>
        <v>service de mise à niveau ! référence de remplacement : 6SN1123-1AA00-0CA2</v>
      </c>
      <c r="N118" s="5" t="str">
        <f>IFERROR(IF(VLOOKUP(Tbl_Donnees[[#This Row],[Référence]]&amp;"",Tbl_Catalogue[],9,FALSE)=0,"-",VLOOKUP(Tbl_Donnees[[#This Row],[Référence]]&amp;"",Tbl_Catalogue[],9,FALSE)),"-")</f>
        <v>SIEMENS</v>
      </c>
      <c r="O118" s="5" t="str">
        <f>IFERROR(IF(VLOOKUP(Tbl_Donnees[[#This Row],[Référence]]&amp;"",Tbl_Catalogue[],11,FALSE)=0,"-",VLOOKUP(Tbl_Donnees[[#This Row],[Référence]]&amp;"",Tbl_Catalogue[],11,FALSE)),"-")</f>
        <v>Pièce de rechange (01/04/2015)</v>
      </c>
      <c r="P118" s="2" t="str">
        <f>IFERROR(IF(VLOOKUP(Tbl_Donnees[[#This Row],[Référence]]&amp;"",Tbl_Catalogue[],12,FALSE)=0,"-",VLOOKUP(Tbl_Donnees[[#This Row],[Référence]]&amp;"",Tbl_Catalogue[],12,FALSE)),"-")</f>
        <v>RECHANGE</v>
      </c>
      <c r="Q118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https://sieportal.siemens.com/fr-ww/products-services/detail/6SN1123-1AA00-0CA2?tree=CatalogTree</v>
      </c>
      <c r="R118" s="2"/>
    </row>
    <row r="119" spans="1:18" x14ac:dyDescent="0.2">
      <c r="A119" s="2" t="s">
        <v>356</v>
      </c>
      <c r="B119" s="5" t="s">
        <v>620</v>
      </c>
      <c r="C119" s="5" t="s">
        <v>60</v>
      </c>
      <c r="D119" s="6" t="str">
        <f>IFERROR(IF(VLOOKUP(Tbl_Donnees[[#This Row],[Référence]]&amp;"",Tbl_Catalogue[],3,FALSE)=0,"-",VLOOKUP(Tbl_Donnees[[#This Row],[Référence]]&amp;"",Tbl_Catalogue[],3,FALSE)),"-")</f>
        <v>RACK REGUL. SIMODRIVE 611</v>
      </c>
      <c r="E119" s="6">
        <v>1</v>
      </c>
      <c r="F119" s="6" t="str">
        <f>IFERROR(IF(VLOOKUP(Tbl_Donnees[[#This Row],[Référence]]&amp;"",Tbl_Catalogue[],2,FALSE)=0,"-",VLOOKUP(Tbl_Donnees[[#This Row],[Référence]]&amp;"",Tbl_Catalogue[],2,FALSE)),"-")</f>
        <v>SIEMENS</v>
      </c>
      <c r="G119" s="20" t="s">
        <v>235</v>
      </c>
      <c r="H119" s="6" t="str">
        <f>IFERROR(IF(VLOOKUP(Tbl_Donnees[[#This Row],[Référence]]&amp;"",Tbl_Catalogue[],4,FALSE)=0,"-",VLOOKUP(Tbl_Donnees[[#This Row],[Référence]]&amp;"",Tbl_Catalogue[],4,FALSE)),"-")</f>
        <v>Produit obsolète (30/09/2013)</v>
      </c>
      <c r="I119" s="2" t="str">
        <f>IFERROR(IF(VLOOKUP(Tbl_Donnees[[#This Row],[Référence]]&amp;"",Tbl_Catalogue[],5,FALSE)=0,"-",VLOOKUP(Tbl_Donnees[[#This Row],[Référence]]&amp;"",Tbl_Catalogue[],5,FALSE)),"INCONNU")</f>
        <v>OBSOLETE</v>
      </c>
      <c r="J11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https://sieportal.siemens.com/fr-fr/products-services/detail/6SN1118-0NH01-0AA0?tree=CatalogTree</v>
      </c>
      <c r="K119" s="2" t="str">
        <f>IFERROR(IF(VLOOKUP(Tbl_Donnees[[#This Row],[Référence]]&amp;"",Tbl_Catalogue[],7,FALSE)=0,"-",VLOOKUP(Tbl_Donnees[[#This Row],[Référence]]&amp;"",Tbl_Catalogue[],7,FALSE)),"-")</f>
        <v>OUI</v>
      </c>
      <c r="L119" s="5" t="str">
        <f>IFERROR(IF(VLOOKUP(Tbl_Donnees[[#This Row],[Référence]]&amp;"",Tbl_Catalogue[],10,FALSE)=0,"-",VLOOKUP(Tbl_Donnees[[#This Row],[Référence]]&amp;"",Tbl_Catalogue[],10,FALSE)),"-")</f>
        <v>-</v>
      </c>
      <c r="M119" s="2" t="str">
        <f>IFERROR(IF(VLOOKUP(Tbl_Donnees[[#This Row],[Référence]]&amp;"",Tbl_Catalogue[],8,FALSE)=0,"-",VLOOKUP(Tbl_Donnees[[#This Row],[Référence]]&amp;"",Tbl_Catalogue[],8,FALSE)),"-")</f>
        <v>6SN1118-0NH01-0AA1 A PARTIR DE FW 8.3</v>
      </c>
      <c r="N119" s="5" t="str">
        <f>IFERROR(IF(VLOOKUP(Tbl_Donnees[[#This Row],[Référence]]&amp;"",Tbl_Catalogue[],9,FALSE)=0,"-",VLOOKUP(Tbl_Donnees[[#This Row],[Référence]]&amp;"",Tbl_Catalogue[],9,FALSE)),"-")</f>
        <v>SIEMENS</v>
      </c>
      <c r="O119" s="5" t="str">
        <f>IFERROR(IF(VLOOKUP(Tbl_Donnees[[#This Row],[Référence]]&amp;"",Tbl_Catalogue[],11,FALSE)=0,"-",VLOOKUP(Tbl_Donnees[[#This Row],[Référence]]&amp;"",Tbl_Catalogue[],11,FALSE)),"-")</f>
        <v>-</v>
      </c>
      <c r="P119" s="2" t="str">
        <f>IFERROR(IF(VLOOKUP(Tbl_Donnees[[#This Row],[Référence]]&amp;"",Tbl_Catalogue[],12,FALSE)=0,"-",VLOOKUP(Tbl_Donnees[[#This Row],[Référence]]&amp;"",Tbl_Catalogue[],12,FALSE)),"-")</f>
        <v>RECHANGE</v>
      </c>
      <c r="Q119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https://sieportal.siemens.com/fr-ww/products-services/detail/6SN1118-0NH01-0AA1?tree=CatalogTree</v>
      </c>
      <c r="R119" s="5"/>
    </row>
    <row r="120" spans="1:18" x14ac:dyDescent="0.2">
      <c r="A120" s="2" t="s">
        <v>356</v>
      </c>
      <c r="B120" s="5" t="s">
        <v>620</v>
      </c>
      <c r="C120" s="5" t="s">
        <v>60</v>
      </c>
      <c r="D120" s="6" t="str">
        <f>IFERROR(IF(VLOOKUP(Tbl_Donnees[[#This Row],[Référence]]&amp;"",Tbl_Catalogue[],3,FALSE)=0,"-",VLOOKUP(Tbl_Donnees[[#This Row],[Référence]]&amp;"",Tbl_Catalogue[],3,FALSE)),"-")</f>
        <v>SERVOMOTEUR AVANCE 1FK6</v>
      </c>
      <c r="E120" s="6">
        <v>1</v>
      </c>
      <c r="F120" s="6" t="str">
        <f>IFERROR(IF(VLOOKUP(Tbl_Donnees[[#This Row],[Référence]]&amp;"",Tbl_Catalogue[],2,FALSE)=0,"-",VLOOKUP(Tbl_Donnees[[#This Row],[Référence]]&amp;"",Tbl_Catalogue[],2,FALSE)),"-")</f>
        <v>SIEMENS</v>
      </c>
      <c r="G120" s="20" t="s">
        <v>22</v>
      </c>
      <c r="H120" s="6" t="str">
        <f>IFERROR(IF(VLOOKUP(Tbl_Donnees[[#This Row],[Référence]]&amp;"",Tbl_Catalogue[],4,FALSE)=0,"-",VLOOKUP(Tbl_Donnees[[#This Row],[Référence]]&amp;"",Tbl_Catalogue[],4,FALSE)),"-")</f>
        <v>PRODUIT OBSOLÈTE DEPUIS LE 01/10/2016</v>
      </c>
      <c r="I120" s="2" t="str">
        <f>IFERROR(IF(VLOOKUP(Tbl_Donnees[[#This Row],[Référence]]&amp;"",Tbl_Catalogue[],5,FALSE)=0,"-",VLOOKUP(Tbl_Donnees[[#This Row],[Référence]]&amp;"",Tbl_Catalogue[],5,FALSE)),"INCONNU")</f>
        <v>OBSOLETE</v>
      </c>
      <c r="J12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https://sieportal.siemens.com/fr-fr/products-services/detail/1fk6101-8af71-1tg0?tree=CatalogTree</v>
      </c>
      <c r="K120" s="2" t="str">
        <f>IFERROR(IF(VLOOKUP(Tbl_Donnees[[#This Row],[Référence]]&amp;"",Tbl_Catalogue[],7,FALSE)=0,"-",VLOOKUP(Tbl_Donnees[[#This Row],[Référence]]&amp;"",Tbl_Catalogue[],7,FALSE)),"-")</f>
        <v>OUI</v>
      </c>
      <c r="L120" s="5" t="str">
        <f>IFERROR(IF(VLOOKUP(Tbl_Donnees[[#This Row],[Référence]]&amp;"",Tbl_Catalogue[],10,FALSE)=0,"-",VLOOKUP(Tbl_Donnees[[#This Row],[Référence]]&amp;"",Tbl_Catalogue[],10,FALSE)),"-")</f>
        <v>-</v>
      </c>
      <c r="M120" s="2" t="str">
        <f>IFERROR(IF(VLOOKUP(Tbl_Donnees[[#This Row],[Référence]]&amp;"",Tbl_Catalogue[],8,FALSE)=0,"-",VLOOKUP(Tbl_Donnees[[#This Row],[Référence]]&amp;"",Tbl_Catalogue[],8,FALSE)),"-")</f>
        <v>1FK7XX-2AXXX-XXXX</v>
      </c>
      <c r="N120" s="5" t="str">
        <f>IFERROR(IF(VLOOKUP(Tbl_Donnees[[#This Row],[Référence]]&amp;"",Tbl_Catalogue[],9,FALSE)=0,"-",VLOOKUP(Tbl_Donnees[[#This Row],[Référence]]&amp;"",Tbl_Catalogue[],9,FALSE)),"-")</f>
        <v>SIEMENS</v>
      </c>
      <c r="O120" s="5" t="str">
        <f>IFERROR(IF(VLOOKUP(Tbl_Donnees[[#This Row],[Référence]]&amp;"",Tbl_Catalogue[],11,FALSE)=0,"-",VLOOKUP(Tbl_Donnees[[#This Row],[Référence]]&amp;"",Tbl_Catalogue[],11,FALSE)),"-")</f>
        <v>-</v>
      </c>
      <c r="P120" s="2" t="str">
        <f>IFERROR(IF(VLOOKUP(Tbl_Donnees[[#This Row],[Référence]]&amp;"",Tbl_Catalogue[],12,FALSE)=0,"-",VLOOKUP(Tbl_Donnees[[#This Row],[Référence]]&amp;"",Tbl_Catalogue[],12,FALSE)),"-")</f>
        <v>-</v>
      </c>
      <c r="Q120" s="13" t="str">
        <f>IFERROR(IF(VLOOKUP(Tbl_Donnees[[#This Row],[Référence]]&amp;"",Tbl_Catalogue[],13,FALSE)=0,"-",VLOOKUP(Tbl_Donnees[[#This Row],[Référence]]&amp;"",Tbl_Catalogue[],13,FALSE)),"-")</f>
        <v>-</v>
      </c>
      <c r="R120" s="2"/>
    </row>
    <row r="121" spans="1:18" x14ac:dyDescent="0.2">
      <c r="A121" s="2" t="s">
        <v>356</v>
      </c>
      <c r="B121" s="5" t="s">
        <v>620</v>
      </c>
      <c r="C121" s="5" t="s">
        <v>60</v>
      </c>
      <c r="D121" s="6" t="str">
        <f>IFERROR(IF(VLOOKUP(Tbl_Donnees[[#This Row],[Référence]]&amp;"",Tbl_Catalogue[],3,FALSE)=0,"-",VLOOKUP(Tbl_Donnees[[#This Row],[Référence]]&amp;"",Tbl_Catalogue[],3,FALSE)),"-")</f>
        <v>MANIVELLE ELECTR. IHM</v>
      </c>
      <c r="E121" s="6">
        <v>1</v>
      </c>
      <c r="F121" s="6" t="str">
        <f>IFERROR(IF(VLOOKUP(Tbl_Donnees[[#This Row],[Référence]]&amp;"",Tbl_Catalogue[],2,FALSE)=0,"-",VLOOKUP(Tbl_Donnees[[#This Row],[Référence]]&amp;"",Tbl_Catalogue[],2,FALSE)),"-")</f>
        <v>SIEMENS</v>
      </c>
      <c r="G121" s="20" t="s">
        <v>26</v>
      </c>
      <c r="H121" s="6" t="str">
        <f>IFERROR(IF(VLOOKUP(Tbl_Donnees[[#This Row],[Référence]]&amp;"",Tbl_Catalogue[],4,FALSE)=0,"-",VLOOKUP(Tbl_Donnees[[#This Row],[Référence]]&amp;"",Tbl_Catalogue[],4,FALSE)),"-")</f>
        <v>Fin de vie du produit (22/08/2008)</v>
      </c>
      <c r="I121" s="2" t="str">
        <f>IFERROR(IF(VLOOKUP(Tbl_Donnees[[#This Row],[Référence]]&amp;"",Tbl_Catalogue[],5,FALSE)=0,"-",VLOOKUP(Tbl_Donnees[[#This Row],[Référence]]&amp;"",Tbl_Catalogue[],5,FALSE)),"INCONNU")</f>
        <v>OBSOLETE</v>
      </c>
      <c r="J121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https://sieportal.siemens.com/fr-ww/products-services/detail/6FC9320-5DB00?tree=CatalogTree</v>
      </c>
      <c r="K121" s="2" t="str">
        <f>IFERROR(IF(VLOOKUP(Tbl_Donnees[[#This Row],[Référence]]&amp;"",Tbl_Catalogue[],7,FALSE)=0,"-",VLOOKUP(Tbl_Donnees[[#This Row],[Référence]]&amp;"",Tbl_Catalogue[],7,FALSE)),"-")</f>
        <v>OUI</v>
      </c>
      <c r="L121" s="5" t="str">
        <f>IFERROR(IF(VLOOKUP(Tbl_Donnees[[#This Row],[Référence]]&amp;"",Tbl_Catalogue[],10,FALSE)=0,"-",VLOOKUP(Tbl_Donnees[[#This Row],[Référence]]&amp;"",Tbl_Catalogue[],10,FALSE)),"-")</f>
        <v>-</v>
      </c>
      <c r="M121" s="2" t="str">
        <f>IFERROR(IF(VLOOKUP(Tbl_Donnees[[#This Row],[Référence]]&amp;"",Tbl_Catalogue[],8,FALSE)=0,"-",VLOOKUP(Tbl_Donnees[[#This Row],[Référence]]&amp;"",Tbl_Catalogue[],8,FALSE)),"-")</f>
        <v>6FC9320-5DB01</v>
      </c>
      <c r="N121" s="5" t="str">
        <f>IFERROR(IF(VLOOKUP(Tbl_Donnees[[#This Row],[Référence]]&amp;"",Tbl_Catalogue[],9,FALSE)=0,"-",VLOOKUP(Tbl_Donnees[[#This Row],[Référence]]&amp;"",Tbl_Catalogue[],9,FALSE)),"-")</f>
        <v>SIEMENS</v>
      </c>
      <c r="O121" s="5" t="str">
        <f>IFERROR(IF(VLOOKUP(Tbl_Donnees[[#This Row],[Référence]]&amp;"",Tbl_Catalogue[],11,FALSE)=0,"-",VLOOKUP(Tbl_Donnees[[#This Row],[Référence]]&amp;"",Tbl_Catalogue[],11,FALSE)),"-")</f>
        <v>Produit actif</v>
      </c>
      <c r="P121" s="2" t="str">
        <f>IFERROR(IF(VLOOKUP(Tbl_Donnees[[#This Row],[Référence]]&amp;"",Tbl_Catalogue[],12,FALSE)=0,"-",VLOOKUP(Tbl_Donnees[[#This Row],[Référence]]&amp;"",Tbl_Catalogue[],12,FALSE)),"-")</f>
        <v>ACTIF</v>
      </c>
      <c r="Q121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https://sieportal.siemens.com/fr-ww/products-services/detail/6FC9320-5DB01?tree=CatalogTree</v>
      </c>
      <c r="R121" s="5"/>
    </row>
    <row r="122" spans="1:18" x14ac:dyDescent="0.2">
      <c r="A122" s="2" t="s">
        <v>356</v>
      </c>
      <c r="B122" s="5" t="s">
        <v>620</v>
      </c>
      <c r="C122" s="5" t="s">
        <v>60</v>
      </c>
      <c r="D122" s="6" t="str">
        <f>IFERROR(IF(VLOOKUP(Tbl_Donnees[[#This Row],[Référence]]&amp;"",Tbl_Catalogue[],3,FALSE)=0,"-",VLOOKUP(Tbl_Donnees[[#This Row],[Référence]]&amp;"",Tbl_Catalogue[],3,FALSE)),"-")</f>
        <v>PUPITRE IHM OP17-DP</v>
      </c>
      <c r="E122" s="6">
        <v>1</v>
      </c>
      <c r="F122" s="6" t="str">
        <f>IFERROR(IF(VLOOKUP(Tbl_Donnees[[#This Row],[Référence]]&amp;"",Tbl_Catalogue[],2,FALSE)=0,"-",VLOOKUP(Tbl_Donnees[[#This Row],[Référence]]&amp;"",Tbl_Catalogue[],2,FALSE)),"-")</f>
        <v>SIEMENS</v>
      </c>
      <c r="G122" s="20" t="s">
        <v>15</v>
      </c>
      <c r="H122" s="6" t="str">
        <f>IFERROR(IF(VLOOKUP(Tbl_Donnees[[#This Row],[Référence]]&amp;"",Tbl_Catalogue[],4,FALSE)=0,"-",VLOOKUP(Tbl_Donnees[[#This Row],[Référence]]&amp;"",Tbl_Catalogue[],4,FALSE)),"-")</f>
        <v>Fin de vie du produit (01/10/2018)</v>
      </c>
      <c r="I122" s="2" t="str">
        <f>IFERROR(IF(VLOOKUP(Tbl_Donnees[[#This Row],[Référence]]&amp;"",Tbl_Catalogue[],5,FALSE)=0,"-",VLOOKUP(Tbl_Donnees[[#This Row],[Référence]]&amp;"",Tbl_Catalogue[],5,FALSE)),"INCONNU")</f>
        <v>OBSOLETE</v>
      </c>
      <c r="J12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https://sieportal.siemens.com/fr-fr/products-services/detail/6AV3617-1JC20-0AX1?tree=CatalogTree</v>
      </c>
      <c r="K122" s="2" t="str">
        <f>IFERROR(IF(VLOOKUP(Tbl_Donnees[[#This Row],[Référence]]&amp;"",Tbl_Catalogue[],7,FALSE)=0,"-",VLOOKUP(Tbl_Donnees[[#This Row],[Référence]]&amp;"",Tbl_Catalogue[],7,FALSE)),"-")</f>
        <v>OUI</v>
      </c>
      <c r="L122" s="5" t="str">
        <f>IFERROR(IF(VLOOKUP(Tbl_Donnees[[#This Row],[Référence]]&amp;"",Tbl_Catalogue[],10,FALSE)=0,"-",VLOOKUP(Tbl_Donnees[[#This Row],[Référence]]&amp;"",Tbl_Catalogue[],10,FALSE)),"-")</f>
        <v>-</v>
      </c>
      <c r="M122" s="2" t="str">
        <f>IFERROR(IF(VLOOKUP(Tbl_Donnees[[#This Row],[Référence]]&amp;"",Tbl_Catalogue[],8,FALSE)=0,"-",VLOOKUP(Tbl_Donnees[[#This Row],[Référence]]&amp;"",Tbl_Catalogue[],8,FALSE)),"-")</f>
        <v>6AV3617-1JC20-0AX2</v>
      </c>
      <c r="N122" s="5" t="str">
        <f>IFERROR(IF(VLOOKUP(Tbl_Donnees[[#This Row],[Référence]]&amp;"",Tbl_Catalogue[],9,FALSE)=0,"-",VLOOKUP(Tbl_Donnees[[#This Row],[Référence]]&amp;"",Tbl_Catalogue[],9,FALSE)),"-")</f>
        <v>SIEMENS</v>
      </c>
      <c r="O122" s="5" t="str">
        <f>IFERROR(IF(VLOOKUP(Tbl_Donnees[[#This Row],[Référence]]&amp;"",Tbl_Catalogue[],11,FALSE)=0,"-",VLOOKUP(Tbl_Donnees[[#This Row],[Référence]]&amp;"",Tbl_Catalogue[],11,FALSE)),"-")</f>
        <v>-</v>
      </c>
      <c r="P122" s="2" t="str">
        <f>IFERROR(IF(VLOOKUP(Tbl_Donnees[[#This Row],[Référence]]&amp;"",Tbl_Catalogue[],12,FALSE)=0,"-",VLOOKUP(Tbl_Donnees[[#This Row],[Référence]]&amp;"",Tbl_Catalogue[],12,FALSE)),"-")</f>
        <v>OBSOLETE</v>
      </c>
      <c r="Q122" s="13" t="str">
        <f>IFERROR(IF(VLOOKUP(Tbl_Donnees[[#This Row],[Référence]]&amp;"",Tbl_Catalogue[],13,FALSE)=0,"-",VLOOKUP(Tbl_Donnees[[#This Row],[Référence]]&amp;"",Tbl_Catalogue[],13,FALSE)),"-")</f>
        <v>https://sieportal.siemens.com/fr-ww/products-services/detail/6AV3617-1JC20-0AX2?tree=CatalogTree</v>
      </c>
      <c r="R122" s="2"/>
    </row>
    <row r="123" spans="1:18" x14ac:dyDescent="0.2">
      <c r="A123" s="2" t="s">
        <v>356</v>
      </c>
      <c r="B123" s="5" t="s">
        <v>620</v>
      </c>
      <c r="C123" s="5" t="s">
        <v>60</v>
      </c>
      <c r="D123" s="6" t="str">
        <f>IFERROR(IF(VLOOKUP(Tbl_Donnees[[#This Row],[Référence]]&amp;"",Tbl_Catalogue[],3,FALSE)=0,"-",VLOOKUP(Tbl_Donnees[[#This Row],[Référence]]&amp;"",Tbl_Catalogue[],3,FALSE)),"-")</f>
        <v>EMBASE CONNECTEUR INDUST.</v>
      </c>
      <c r="E123" s="6">
        <v>1</v>
      </c>
      <c r="F123" s="6" t="str">
        <f>IFERROR(IF(VLOOKUP(Tbl_Donnees[[#This Row],[Référence]]&amp;"",Tbl_Catalogue[],2,FALSE)=0,"-",VLOOKUP(Tbl_Donnees[[#This Row],[Référence]]&amp;"",Tbl_Catalogue[],2,FALSE)),"-")</f>
        <v>PHOENIX CONTACT</v>
      </c>
      <c r="G123" s="20" t="s">
        <v>245</v>
      </c>
      <c r="H123" s="6" t="str">
        <f>IFERROR(IF(VLOOKUP(Tbl_Donnees[[#This Row],[Référence]]&amp;"",Tbl_Catalogue[],4,FALSE)=0,"-",VLOOKUP(Tbl_Donnees[[#This Row],[Référence]]&amp;"",Tbl_Catalogue[],4,FALSE)),"-")</f>
        <v>Produit non disponible</v>
      </c>
      <c r="I123" s="2" t="str">
        <f>IFERROR(IF(VLOOKUP(Tbl_Donnees[[#This Row],[Référence]]&amp;"",Tbl_Catalogue[],5,FALSE)=0,"-",VLOOKUP(Tbl_Donnees[[#This Row],[Référence]]&amp;"",Tbl_Catalogue[],5,FALSE)),"INCONNU")</f>
        <v>OBSOLETE</v>
      </c>
      <c r="J123" s="3" t="str">
        <f>IFERROR(IF(VLOOKUP(Tbl_Donnees[[#This Row],[Référence]]&amp;"",Tbl_Catalogue[],6,FALSE)=0,"-",VLOOKUP(Tbl_Donnees[[#This Row],[Référence]]&amp;"",Tbl_Catalogue[],6,FALSE)),"-")</f>
        <v>https://www.phoenixcontact.com/en-be/products/hc-b-32-smq-72-m2pg29-1775716</v>
      </c>
      <c r="K123" s="2" t="str">
        <f>IFERROR(IF(VLOOKUP(Tbl_Donnees[[#This Row],[Référence]]&amp;"",Tbl_Catalogue[],7,FALSE)=0,"-",VLOOKUP(Tbl_Donnees[[#This Row],[Référence]]&amp;"",Tbl_Catalogue[],7,FALSE)),"-")</f>
        <v>OUI</v>
      </c>
      <c r="L123" s="5" t="str">
        <f>IFERROR(IF(VLOOKUP(Tbl_Donnees[[#This Row],[Référence]]&amp;"",Tbl_Catalogue[],10,FALSE)=0,"-",VLOOKUP(Tbl_Donnees[[#This Row],[Référence]]&amp;"",Tbl_Catalogue[],10,FALSE)),"-")</f>
        <v>-</v>
      </c>
      <c r="M123" s="2" t="str">
        <f>IFERROR(IF(VLOOKUP(Tbl_Donnees[[#This Row],[Référence]]&amp;"",Tbl_Catalogue[],8,FALSE)=0,"-",VLOOKUP(Tbl_Donnees[[#This Row],[Référence]]&amp;"",Tbl_Catalogue[],8,FALSE)),"-")</f>
        <v>HC-STA-B32-SHWD-2SSP29-ELC-AL</v>
      </c>
      <c r="N123" s="5" t="str">
        <f>IFERROR(IF(VLOOKUP(Tbl_Donnees[[#This Row],[Référence]]&amp;"",Tbl_Catalogue[],9,FALSE)=0,"-",VLOOKUP(Tbl_Donnees[[#This Row],[Référence]]&amp;"",Tbl_Catalogue[],9,FALSE)),"-")</f>
        <v>PHOENIX CONTACT</v>
      </c>
      <c r="O123" s="5" t="str">
        <f>IFERROR(IF(VLOOKUP(Tbl_Donnees[[#This Row],[Référence]]&amp;"",Tbl_Catalogue[],11,FALSE)=0,"-",VLOOKUP(Tbl_Donnees[[#This Row],[Référence]]&amp;"",Tbl_Catalogue[],11,FALSE)),"-")</f>
        <v>-</v>
      </c>
      <c r="P123" s="2" t="str">
        <f>IFERROR(IF(VLOOKUP(Tbl_Donnees[[#This Row],[Référence]]&amp;"",Tbl_Catalogue[],12,FALSE)=0,"-",VLOOKUP(Tbl_Donnees[[#This Row],[Référence]]&amp;"",Tbl_Catalogue[],12,FALSE)),"-")</f>
        <v>ACTIF</v>
      </c>
      <c r="Q123" s="13" t="str">
        <f>IFERROR(IF(VLOOKUP(Tbl_Donnees[[#This Row],[Référence]]&amp;"",Tbl_Catalogue[],13,FALSE)=0,"-",VLOOKUP(Tbl_Donnees[[#This Row],[Référence]]&amp;"",Tbl_Catalogue[],13,FALSE)),"-")</f>
        <v>-</v>
      </c>
      <c r="R123" s="2"/>
    </row>
    <row r="124" spans="1:18" x14ac:dyDescent="0.2">
      <c r="A124" s="2" t="s">
        <v>356</v>
      </c>
      <c r="B124" s="5" t="s">
        <v>620</v>
      </c>
      <c r="C124" s="5" t="s">
        <v>60</v>
      </c>
      <c r="D124" s="6" t="str">
        <f>IFERROR(IF(VLOOKUP(Tbl_Donnees[[#This Row],[Référence]]&amp;"",Tbl_Catalogue[],3,FALSE)=0,"-",VLOOKUP(Tbl_Donnees[[#This Row],[Référence]]&amp;"",Tbl_Catalogue[],3,FALSE)),"-")</f>
        <v xml:space="preserve">ADAPTATEUR ENFICHAGE </v>
      </c>
      <c r="E124" s="6">
        <v>15</v>
      </c>
      <c r="F124" s="6" t="str">
        <f>IFERROR(IF(VLOOKUP(Tbl_Donnees[[#This Row],[Référence]]&amp;"",Tbl_Catalogue[],2,FALSE)=0,"-",VLOOKUP(Tbl_Donnees[[#This Row],[Référence]]&amp;"",Tbl_Catalogue[],2,FALSE)),"-")</f>
        <v>LUTZE</v>
      </c>
      <c r="G124" s="20" t="s">
        <v>251</v>
      </c>
      <c r="H124" s="6" t="str">
        <f>IFERROR(IF(VLOOKUP(Tbl_Donnees[[#This Row],[Référence]]&amp;"",Tbl_Catalogue[],4,FALSE)=0,"-",VLOOKUP(Tbl_Donnees[[#This Row],[Référence]]&amp;"",Tbl_Catalogue[],4,FALSE)),"-")</f>
        <v>Disponible</v>
      </c>
      <c r="I124" s="2" t="str">
        <f>IFERROR(IF(VLOOKUP(Tbl_Donnees[[#This Row],[Référence]]&amp;"",Tbl_Catalogue[],5,FALSE)=0,"-",VLOOKUP(Tbl_Donnees[[#This Row],[Référence]]&amp;"",Tbl_Catalogue[],5,FALSE)),"INCONNU")</f>
        <v>ACTIF</v>
      </c>
      <c r="J124" s="3" t="str">
        <f>IFERROR(IF(VLOOKUP(Tbl_Donnees[[#This Row],[Référence]]&amp;"",Tbl_Catalogue[],6,FALSE)=0,"-",VLOOKUP(Tbl_Donnees[[#This Row],[Référence]]&amp;"",Tbl_Catalogue[],6,FALSE)),"-")</f>
        <v>https://www.luetze.com/fr-fr/catalogues/Cable-&amp;-Connectivity/Technique-d%E2%80%99antiparasitage/Connecteur-de-vanne%C2%A0-%C2%A0D%C3%A9parasitage-de-vanne/700881</v>
      </c>
      <c r="K124" s="2" t="str">
        <f>IFERROR(IF(VLOOKUP(Tbl_Donnees[[#This Row],[Référence]]&amp;"",Tbl_Catalogue[],7,FALSE)=0,"-",VLOOKUP(Tbl_Donnees[[#This Row],[Référence]]&amp;"",Tbl_Catalogue[],7,FALSE)),"-")</f>
        <v>-</v>
      </c>
      <c r="L124" s="5" t="str">
        <f>IFERROR(IF(VLOOKUP(Tbl_Donnees[[#This Row],[Référence]]&amp;"",Tbl_Catalogue[],10,FALSE)=0,"-",VLOOKUP(Tbl_Donnees[[#This Row],[Référence]]&amp;"",Tbl_Catalogue[],10,FALSE)),"-")</f>
        <v>-</v>
      </c>
      <c r="M124" s="2" t="str">
        <f>IFERROR(IF(VLOOKUP(Tbl_Donnees[[#This Row],[Référence]]&amp;"",Tbl_Catalogue[],8,FALSE)=0,"-",VLOOKUP(Tbl_Donnees[[#This Row],[Référence]]&amp;"",Tbl_Catalogue[],8,FALSE)),"-")</f>
        <v>-</v>
      </c>
      <c r="N124" s="5" t="str">
        <f>IFERROR(IF(VLOOKUP(Tbl_Donnees[[#This Row],[Référence]]&amp;"",Tbl_Catalogue[],9,FALSE)=0,"-",VLOOKUP(Tbl_Donnees[[#This Row],[Référence]]&amp;"",Tbl_Catalogue[],9,FALSE)),"-")</f>
        <v>-</v>
      </c>
      <c r="O124" s="5" t="str">
        <f>IFERROR(IF(VLOOKUP(Tbl_Donnees[[#This Row],[Référence]]&amp;"",Tbl_Catalogue[],11,FALSE)=0,"-",VLOOKUP(Tbl_Donnees[[#This Row],[Référence]]&amp;"",Tbl_Catalogue[],11,FALSE)),"-")</f>
        <v>-</v>
      </c>
      <c r="P124" s="2" t="str">
        <f>IFERROR(IF(VLOOKUP(Tbl_Donnees[[#This Row],[Référence]]&amp;"",Tbl_Catalogue[],12,FALSE)=0,"-",VLOOKUP(Tbl_Donnees[[#This Row],[Référence]]&amp;"",Tbl_Catalogue[],12,FALSE)),"-")</f>
        <v>-</v>
      </c>
      <c r="Q124" s="13" t="str">
        <f>IFERROR(IF(VLOOKUP(Tbl_Donnees[[#This Row],[Référence]]&amp;"",Tbl_Catalogue[],13,FALSE)=0,"-",VLOOKUP(Tbl_Donnees[[#This Row],[Référence]]&amp;"",Tbl_Catalogue[],13,FALSE)),"-")</f>
        <v>-</v>
      </c>
      <c r="R124" s="5"/>
    </row>
    <row r="125" spans="1:18" x14ac:dyDescent="0.2">
      <c r="A125" s="2" t="s">
        <v>356</v>
      </c>
      <c r="B125" s="5" t="s">
        <v>620</v>
      </c>
      <c r="C125" s="5" t="s">
        <v>60</v>
      </c>
      <c r="D125" s="6" t="str">
        <f>IFERROR(IF(VLOOKUP(Tbl_Donnees[[#This Row],[Référence]]&amp;"",Tbl_Catalogue[],3,FALSE)=0,"-",VLOOKUP(Tbl_Donnees[[#This Row],[Référence]]&amp;"",Tbl_Catalogue[],3,FALSE)),"-")</f>
        <v>CODEUR ROTATIF MULTITOURS</v>
      </c>
      <c r="E125" s="6">
        <v>1</v>
      </c>
      <c r="F125" s="6" t="str">
        <f>IFERROR(IF(VLOOKUP(Tbl_Donnees[[#This Row],[Référence]]&amp;"",Tbl_Catalogue[],2,FALSE)=0,"-",VLOOKUP(Tbl_Donnees[[#This Row],[Référence]]&amp;"",Tbl_Catalogue[],2,FALSE)),"-")</f>
        <v>HEIDENHAIN</v>
      </c>
      <c r="G125" s="20" t="s">
        <v>88</v>
      </c>
      <c r="H125" s="6" t="str">
        <f>IFERROR(IF(VLOOKUP(Tbl_Donnees[[#This Row],[Référence]]&amp;"",Tbl_Catalogue[],4,FALSE)=0,"-",VLOOKUP(Tbl_Donnees[[#This Row],[Référence]]&amp;"",Tbl_Catalogue[],4,FALSE)),"-")</f>
        <v>INCONNU</v>
      </c>
      <c r="I125" s="2" t="str">
        <f>IFERROR(IF(VLOOKUP(Tbl_Donnees[[#This Row],[Référence]]&amp;"",Tbl_Catalogue[],5,FALSE)=0,"-",VLOOKUP(Tbl_Donnees[[#This Row],[Référence]]&amp;"",Tbl_Catalogue[],5,FALSE)),"INCONNU")</f>
        <v>INCONNU</v>
      </c>
      <c r="J125" s="3" t="str">
        <f>IFERROR(IF(VLOOKUP(Tbl_Donnees[[#This Row],[Référence]]&amp;"",Tbl_Catalogue[],6,FALSE)=0,"-",VLOOKUP(Tbl_Donnees[[#This Row],[Référence]]&amp;"",Tbl_Catalogue[],6,FALSE)),"-")</f>
        <v>https://www.heidenhain.com/service-support/infobase/1131752-74</v>
      </c>
      <c r="K125" s="2" t="str">
        <f>IFERROR(IF(VLOOKUP(Tbl_Donnees[[#This Row],[Référence]]&amp;"",Tbl_Catalogue[],7,FALSE)=0,"-",VLOOKUP(Tbl_Donnees[[#This Row],[Référence]]&amp;"",Tbl_Catalogue[],7,FALSE)),"-")</f>
        <v>OUI</v>
      </c>
      <c r="L125" s="5" t="str">
        <f>IFERROR(IF(VLOOKUP(Tbl_Donnees[[#This Row],[Référence]]&amp;"",Tbl_Catalogue[],10,FALSE)=0,"-",VLOOKUP(Tbl_Donnees[[#This Row],[Référence]]&amp;"",Tbl_Catalogue[],10,FALSE)),"-")</f>
        <v>-</v>
      </c>
      <c r="M125" s="2" t="str">
        <f>IFERROR(IF(VLOOKUP(Tbl_Donnees[[#This Row],[Référence]]&amp;"",Tbl_Catalogue[],8,FALSE)=0,"-",VLOOKUP(Tbl_Donnees[[#This Row],[Référence]]&amp;"",Tbl_Catalogue[],8,FALSE)),"-")</f>
        <v>ROQ 425 (ID : 1353117-74)</v>
      </c>
      <c r="N125" s="5" t="str">
        <f>IFERROR(IF(VLOOKUP(Tbl_Donnees[[#This Row],[Référence]]&amp;"",Tbl_Catalogue[],9,FALSE)=0,"-",VLOOKUP(Tbl_Donnees[[#This Row],[Référence]]&amp;"",Tbl_Catalogue[],9,FALSE)),"-")</f>
        <v>HEIDENHAIN</v>
      </c>
      <c r="O125" s="5" t="str">
        <f>IFERROR(IF(VLOOKUP(Tbl_Donnees[[#This Row],[Référence]]&amp;"",Tbl_Catalogue[],11,FALSE)=0,"-",VLOOKUP(Tbl_Donnees[[#This Row],[Référence]]&amp;"",Tbl_Catalogue[],11,FALSE)),"-")</f>
        <v>-</v>
      </c>
      <c r="P125" s="2" t="str">
        <f>IFERROR(IF(VLOOKUP(Tbl_Donnees[[#This Row],[Référence]]&amp;"",Tbl_Catalogue[],12,FALSE)=0,"-",VLOOKUP(Tbl_Donnees[[#This Row],[Référence]]&amp;"",Tbl_Catalogue[],12,FALSE)),"-")</f>
        <v>-</v>
      </c>
      <c r="Q125" s="13" t="str">
        <f>IFERROR(IF(VLOOKUP(Tbl_Donnees[[#This Row],[Référence]]&amp;"",Tbl_Catalogue[],13,FALSE)=0,"-",VLOOKUP(Tbl_Donnees[[#This Row],[Référence]]&amp;"",Tbl_Catalogue[],13,FALSE)),"-")</f>
        <v>https://www.heidenhain.com/service-support/infobase/1353117-74</v>
      </c>
      <c r="R125" s="2"/>
    </row>
    <row r="126" spans="1:18" x14ac:dyDescent="0.2">
      <c r="A126" s="2" t="s">
        <v>356</v>
      </c>
      <c r="B126" s="5" t="s">
        <v>620</v>
      </c>
      <c r="C126" s="5" t="s">
        <v>60</v>
      </c>
      <c r="D126" s="6" t="str">
        <f>IFERROR(IF(VLOOKUP(Tbl_Donnees[[#This Row],[Référence]]&amp;"",Tbl_Catalogue[],3,FALSE)=0,"-",VLOOKUP(Tbl_Donnees[[#This Row],[Référence]]&amp;"",Tbl_Catalogue[],3,FALSE)),"-")</f>
        <v>BOITIER CONTROLE ELEC.</v>
      </c>
      <c r="E126" s="6">
        <v>1</v>
      </c>
      <c r="F126" s="6" t="str">
        <f>IFERROR(IF(VLOOKUP(Tbl_Donnees[[#This Row],[Référence]]&amp;"",Tbl_Catalogue[],2,FALSE)=0,"-",VLOOKUP(Tbl_Donnees[[#This Row],[Référence]]&amp;"",Tbl_Catalogue[],2,FALSE)),"-")</f>
        <v>DETECTOR FRANCE</v>
      </c>
      <c r="G126" s="20" t="s">
        <v>14</v>
      </c>
      <c r="H126" s="6" t="str">
        <f>IFERROR(IF(VLOOKUP(Tbl_Donnees[[#This Row],[Référence]]&amp;"",Tbl_Catalogue[],4,FALSE)=0,"-",VLOOKUP(Tbl_Donnees[[#This Row],[Référence]]&amp;"",Tbl_Catalogue[],4,FALSE)),"-")</f>
        <v>INCONNU</v>
      </c>
      <c r="I126" s="2" t="str">
        <f>IFERROR(IF(VLOOKUP(Tbl_Donnees[[#This Row],[Référence]]&amp;"",Tbl_Catalogue[],5,FALSE)=0,"-",VLOOKUP(Tbl_Donnees[[#This Row],[Référence]]&amp;"",Tbl_Catalogue[],5,FALSE)),"INCONNU")</f>
        <v>INCONNU</v>
      </c>
      <c r="J126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126" s="2" t="str">
        <f>IFERROR(IF(VLOOKUP(Tbl_Donnees[[#This Row],[Référence]]&amp;"",Tbl_Catalogue[],7,FALSE)=0,"-",VLOOKUP(Tbl_Donnees[[#This Row],[Référence]]&amp;"",Tbl_Catalogue[],7,FALSE)),"-")</f>
        <v>OUI</v>
      </c>
      <c r="L126" s="5" t="str">
        <f>IFERROR(IF(VLOOKUP(Tbl_Donnees[[#This Row],[Référence]]&amp;"",Tbl_Catalogue[],10,FALSE)=0,"-",VLOOKUP(Tbl_Donnees[[#This Row],[Référence]]&amp;"",Tbl_Catalogue[],10,FALSE)),"-")</f>
        <v>-</v>
      </c>
      <c r="M126" s="2" t="str">
        <f>IFERROR(IF(VLOOKUP(Tbl_Donnees[[#This Row],[Référence]]&amp;"",Tbl_Catalogue[],8,FALSE)=0,"-",VLOOKUP(Tbl_Donnees[[#This Row],[Référence]]&amp;"",Tbl_Catalogue[],8,FALSE)),"-")</f>
        <v>ETC1+CDTPC2</v>
      </c>
      <c r="N126" s="5" t="str">
        <f>IFERROR(IF(VLOOKUP(Tbl_Donnees[[#This Row],[Référence]]&amp;"",Tbl_Catalogue[],9,FALSE)=0,"-",VLOOKUP(Tbl_Donnees[[#This Row],[Référence]]&amp;"",Tbl_Catalogue[],9,FALSE)),"-")</f>
        <v>DETECTOR FRANCE</v>
      </c>
      <c r="O126" s="5" t="str">
        <f>IFERROR(IF(VLOOKUP(Tbl_Donnees[[#This Row],[Référence]]&amp;"",Tbl_Catalogue[],11,FALSE)=0,"-",VLOOKUP(Tbl_Donnees[[#This Row],[Référence]]&amp;"",Tbl_Catalogue[],11,FALSE)),"-")</f>
        <v>-</v>
      </c>
      <c r="P126" s="2" t="str">
        <f>IFERROR(IF(VLOOKUP(Tbl_Donnees[[#This Row],[Référence]]&amp;"",Tbl_Catalogue[],12,FALSE)=0,"-",VLOOKUP(Tbl_Donnees[[#This Row],[Référence]]&amp;"",Tbl_Catalogue[],12,FALSE)),"-")</f>
        <v>INCONNU</v>
      </c>
      <c r="Q126" s="13" t="str">
        <f>IFERROR(IF(VLOOKUP(Tbl_Donnees[[#This Row],[Référence]]&amp;"",Tbl_Catalogue[],13,FALSE)=0,"-",VLOOKUP(Tbl_Donnees[[#This Row],[Référence]]&amp;"",Tbl_Catalogue[],13,FALSE)),"-")</f>
        <v>https://detector-france.com/produits/ecran-tactile-etc1-cdt-pc2/</v>
      </c>
      <c r="R126" s="2"/>
    </row>
    <row r="127" spans="1:18" x14ac:dyDescent="0.2">
      <c r="A127" s="2" t="s">
        <v>356</v>
      </c>
      <c r="B127" s="5" t="s">
        <v>620</v>
      </c>
      <c r="C127" s="5" t="s">
        <v>60</v>
      </c>
      <c r="D127" s="6" t="str">
        <f>IFERROR(IF(VLOOKUP(Tbl_Donnees[[#This Row],[Référence]]&amp;"",Tbl_Catalogue[],3,FALSE)=0,"-",VLOOKUP(Tbl_Donnees[[#This Row],[Référence]]&amp;"",Tbl_Catalogue[],3,FALSE)),"-")</f>
        <v>REGLE MESURE LONGUEUR</v>
      </c>
      <c r="E127" s="6">
        <v>1</v>
      </c>
      <c r="F127" s="6" t="str">
        <f>IFERROR(IF(VLOOKUP(Tbl_Donnees[[#This Row],[Référence]]&amp;"",Tbl_Catalogue[],2,FALSE)=0,"-",VLOOKUP(Tbl_Donnees[[#This Row],[Référence]]&amp;"",Tbl_Catalogue[],2,FALSE)),"-")</f>
        <v>DETECTOR FRANCE</v>
      </c>
      <c r="G127" s="20" t="s">
        <v>12</v>
      </c>
      <c r="H127" s="6" t="str">
        <f>IFERROR(IF(VLOOKUP(Tbl_Donnees[[#This Row],[Référence]]&amp;"",Tbl_Catalogue[],4,FALSE)=0,"-",VLOOKUP(Tbl_Donnees[[#This Row],[Référence]]&amp;"",Tbl_Catalogue[],4,FALSE)),"-")</f>
        <v>Produit actif</v>
      </c>
      <c r="I127" s="2" t="str">
        <f>IFERROR(IF(VLOOKUP(Tbl_Donnees[[#This Row],[Référence]]&amp;"",Tbl_Catalogue[],5,FALSE)=0,"-",VLOOKUP(Tbl_Donnees[[#This Row],[Référence]]&amp;"",Tbl_Catalogue[],5,FALSE)),"INCONNU")</f>
        <v>ACTIF</v>
      </c>
      <c r="J127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127" s="2" t="str">
        <f>IFERROR(IF(VLOOKUP(Tbl_Donnees[[#This Row],[Référence]]&amp;"",Tbl_Catalogue[],7,FALSE)=0,"-",VLOOKUP(Tbl_Donnees[[#This Row],[Référence]]&amp;"",Tbl_Catalogue[],7,FALSE)),"-")</f>
        <v>-</v>
      </c>
      <c r="L127" s="5" t="str">
        <f>IFERROR(IF(VLOOKUP(Tbl_Donnees[[#This Row],[Référence]]&amp;"",Tbl_Catalogue[],10,FALSE)=0,"-",VLOOKUP(Tbl_Donnees[[#This Row],[Référence]]&amp;"",Tbl_Catalogue[],10,FALSE)),"-")</f>
        <v>-</v>
      </c>
      <c r="M127" s="2" t="str">
        <f>IFERROR(IF(VLOOKUP(Tbl_Donnees[[#This Row],[Référence]]&amp;"",Tbl_Catalogue[],8,FALSE)=0,"-",VLOOKUP(Tbl_Donnees[[#This Row],[Référence]]&amp;"",Tbl_Catalogue[],8,FALSE)),"-")</f>
        <v>-</v>
      </c>
      <c r="N127" s="5" t="str">
        <f>IFERROR(IF(VLOOKUP(Tbl_Donnees[[#This Row],[Référence]]&amp;"",Tbl_Catalogue[],9,FALSE)=0,"-",VLOOKUP(Tbl_Donnees[[#This Row],[Référence]]&amp;"",Tbl_Catalogue[],9,FALSE)),"-")</f>
        <v>-</v>
      </c>
      <c r="O127" s="5" t="str">
        <f>IFERROR(IF(VLOOKUP(Tbl_Donnees[[#This Row],[Référence]]&amp;"",Tbl_Catalogue[],11,FALSE)=0,"-",VLOOKUP(Tbl_Donnees[[#This Row],[Référence]]&amp;"",Tbl_Catalogue[],11,FALSE)),"-")</f>
        <v>-</v>
      </c>
      <c r="P127" s="2" t="str">
        <f>IFERROR(IF(VLOOKUP(Tbl_Donnees[[#This Row],[Référence]]&amp;"",Tbl_Catalogue[],12,FALSE)=0,"-",VLOOKUP(Tbl_Donnees[[#This Row],[Référence]]&amp;"",Tbl_Catalogue[],12,FALSE)),"-")</f>
        <v>-</v>
      </c>
      <c r="Q127" s="13" t="str">
        <f>IFERROR(IF(VLOOKUP(Tbl_Donnees[[#This Row],[Référence]]&amp;"",Tbl_Catalogue[],13,FALSE)=0,"-",VLOOKUP(Tbl_Donnees[[#This Row],[Référence]]&amp;"",Tbl_Catalogue[],13,FALSE)),"-")</f>
        <v>-</v>
      </c>
      <c r="R127" s="5"/>
    </row>
    <row r="128" spans="1:18" x14ac:dyDescent="0.2">
      <c r="A128" s="2" t="s">
        <v>356</v>
      </c>
      <c r="B128" s="5" t="s">
        <v>620</v>
      </c>
      <c r="C128" s="5" t="s">
        <v>60</v>
      </c>
      <c r="D128" s="6" t="str">
        <f>IFERROR(IF(VLOOKUP(Tbl_Donnees[[#This Row],[Référence]]&amp;"",Tbl_Catalogue[],3,FALSE)=0,"-",VLOOKUP(Tbl_Donnees[[#This Row],[Référence]]&amp;"",Tbl_Catalogue[],3,FALSE)),"-")</f>
        <v xml:space="preserve">INTER. FIN COURSE SECURITE </v>
      </c>
      <c r="E128" s="6">
        <v>4</v>
      </c>
      <c r="F128" s="6" t="str">
        <f>IFERROR(IF(VLOOKUP(Tbl_Donnees[[#This Row],[Référence]]&amp;"",Tbl_Catalogue[],2,FALSE)=0,"-",VLOOKUP(Tbl_Donnees[[#This Row],[Référence]]&amp;"",Tbl_Catalogue[],2,FALSE)),"-")</f>
        <v>BREMAS</v>
      </c>
      <c r="G128" s="20" t="s">
        <v>155</v>
      </c>
      <c r="H128" s="6" t="str">
        <f>IFERROR(IF(VLOOKUP(Tbl_Donnees[[#This Row],[Référence]]&amp;"",Tbl_Catalogue[],4,FALSE)=0,"-",VLOOKUP(Tbl_Donnees[[#This Row],[Référence]]&amp;"",Tbl_Catalogue[],4,FALSE)),"-")</f>
        <v>INCONNU</v>
      </c>
      <c r="I128" s="2" t="str">
        <f>IFERROR(IF(VLOOKUP(Tbl_Donnees[[#This Row],[Référence]]&amp;"",Tbl_Catalogue[],5,FALSE)=0,"-",VLOOKUP(Tbl_Donnees[[#This Row],[Référence]]&amp;"",Tbl_Catalogue[],5,FALSE)),"INCONNU")</f>
        <v>INCONNU</v>
      </c>
      <c r="J128" s="3" t="str">
        <f>IFERROR(IF(VLOOKUP(Tbl_Donnees[[#This Row],[Référence]]&amp;"",Tbl_Catalogue[],6,FALSE)=0,"-",VLOOKUP(Tbl_Donnees[[#This Row],[Référence]]&amp;"",Tbl_Catalogue[],6,FALSE)),"-")</f>
        <v>https://www.bremas.it/en/prodotto/E30000CM</v>
      </c>
      <c r="K128" s="2" t="str">
        <f>IFERROR(IF(VLOOKUP(Tbl_Donnees[[#This Row],[Référence]]&amp;"",Tbl_Catalogue[],7,FALSE)=0,"-",VLOOKUP(Tbl_Donnees[[#This Row],[Référence]]&amp;"",Tbl_Catalogue[],7,FALSE)),"-")</f>
        <v>INCONNU</v>
      </c>
      <c r="L128" s="5" t="str">
        <f>IFERROR(IF(VLOOKUP(Tbl_Donnees[[#This Row],[Référence]]&amp;"",Tbl_Catalogue[],10,FALSE)=0,"-",VLOOKUP(Tbl_Donnees[[#This Row],[Référence]]&amp;"",Tbl_Catalogue[],10,FALSE)),"-")</f>
        <v>-</v>
      </c>
      <c r="M128" s="2" t="str">
        <f>IFERROR(IF(VLOOKUP(Tbl_Donnees[[#This Row],[Référence]]&amp;"",Tbl_Catalogue[],8,FALSE)=0,"-",VLOOKUP(Tbl_Donnees[[#This Row],[Référence]]&amp;"",Tbl_Catalogue[],8,FALSE)),"-")</f>
        <v>-</v>
      </c>
      <c r="N128" s="5" t="str">
        <f>IFERROR(IF(VLOOKUP(Tbl_Donnees[[#This Row],[Référence]]&amp;"",Tbl_Catalogue[],9,FALSE)=0,"-",VLOOKUP(Tbl_Donnees[[#This Row],[Référence]]&amp;"",Tbl_Catalogue[],9,FALSE)),"-")</f>
        <v>-</v>
      </c>
      <c r="O128" s="5" t="str">
        <f>IFERROR(IF(VLOOKUP(Tbl_Donnees[[#This Row],[Référence]]&amp;"",Tbl_Catalogue[],11,FALSE)=0,"-",VLOOKUP(Tbl_Donnees[[#This Row],[Référence]]&amp;"",Tbl_Catalogue[],11,FALSE)),"-")</f>
        <v>-</v>
      </c>
      <c r="P128" s="2" t="str">
        <f>IFERROR(IF(VLOOKUP(Tbl_Donnees[[#This Row],[Référence]]&amp;"",Tbl_Catalogue[],12,FALSE)=0,"-",VLOOKUP(Tbl_Donnees[[#This Row],[Référence]]&amp;"",Tbl_Catalogue[],12,FALSE)),"-")</f>
        <v>-</v>
      </c>
      <c r="Q128" s="13" t="str">
        <f>IFERROR(IF(VLOOKUP(Tbl_Donnees[[#This Row],[Référence]]&amp;"",Tbl_Catalogue[],13,FALSE)=0,"-",VLOOKUP(Tbl_Donnees[[#This Row],[Référence]]&amp;"",Tbl_Catalogue[],13,FALSE)),"-")</f>
        <v>-</v>
      </c>
      <c r="R128" s="5"/>
    </row>
    <row r="129" spans="1:18" x14ac:dyDescent="0.2">
      <c r="A129" s="2" t="s">
        <v>356</v>
      </c>
      <c r="B129" s="5" t="s">
        <v>620</v>
      </c>
      <c r="C129" s="5" t="s">
        <v>60</v>
      </c>
      <c r="D129" s="6" t="str">
        <f>IFERROR(IF(VLOOKUP(Tbl_Donnees[[#This Row],[Référence]]&amp;"",Tbl_Catalogue[],3,FALSE)=0,"-",VLOOKUP(Tbl_Donnees[[#This Row],[Référence]]&amp;"",Tbl_Catalogue[],3,FALSE)),"-")</f>
        <v>MANOSTAT / PRESSOSTAT</v>
      </c>
      <c r="E129" s="6">
        <v>1</v>
      </c>
      <c r="F129" s="6" t="str">
        <f>IFERROR(IF(VLOOKUP(Tbl_Donnees[[#This Row],[Référence]]&amp;"",Tbl_Catalogue[],2,FALSE)=0,"-",VLOOKUP(Tbl_Donnees[[#This Row],[Référence]]&amp;"",Tbl_Catalogue[],2,FALSE)),"-")</f>
        <v>BOSCH</v>
      </c>
      <c r="G129" s="20" t="s">
        <v>247</v>
      </c>
      <c r="H129" s="6" t="str">
        <f>IFERROR(IF(VLOOKUP(Tbl_Donnees[[#This Row],[Référence]]&amp;"",Tbl_Catalogue[],4,FALSE)=0,"-",VLOOKUP(Tbl_Donnees[[#This Row],[Référence]]&amp;"",Tbl_Catalogue[],4,FALSE)),"-")</f>
        <v>Obsolète</v>
      </c>
      <c r="I129" s="2" t="str">
        <f>IFERROR(IF(VLOOKUP(Tbl_Donnees[[#This Row],[Référence]]&amp;"",Tbl_Catalogue[],5,FALSE)=0,"-",VLOOKUP(Tbl_Donnees[[#This Row],[Référence]]&amp;"",Tbl_Catalogue[],5,FALSE)),"INCONNU")</f>
        <v>INCONNU</v>
      </c>
      <c r="J129" s="3" t="str">
        <f>IFERROR(IF(VLOOKUP(Tbl_Donnees[[#This Row],[Référence]]&amp;"",Tbl_Catalogue[],6,FALSE)=0,"-",VLOOKUP(Tbl_Donnees[[#This Row],[Référence]]&amp;"",Tbl_Catalogue[],6,FALSE)),"-")</f>
        <v>-</v>
      </c>
      <c r="K129" s="2" t="str">
        <f>IFERROR(IF(VLOOKUP(Tbl_Donnees[[#This Row],[Référence]]&amp;"",Tbl_Catalogue[],7,FALSE)=0,"-",VLOOKUP(Tbl_Donnees[[#This Row],[Référence]]&amp;"",Tbl_Catalogue[],7,FALSE)),"-")</f>
        <v>INCONNU</v>
      </c>
      <c r="L129" s="5" t="str">
        <f>IFERROR(IF(VLOOKUP(Tbl_Donnees[[#This Row],[Référence]]&amp;"",Tbl_Catalogue[],10,FALSE)=0,"-",VLOOKUP(Tbl_Donnees[[#This Row],[Référence]]&amp;"",Tbl_Catalogue[],10,FALSE)),"-")</f>
        <v>-</v>
      </c>
      <c r="M129" s="2" t="str">
        <f>IFERROR(IF(VLOOKUP(Tbl_Donnees[[#This Row],[Référence]]&amp;"",Tbl_Catalogue[],8,FALSE)=0,"-",VLOOKUP(Tbl_Donnees[[#This Row],[Référence]]&amp;"",Tbl_Catalogue[],8,FALSE)),"-")</f>
        <v>-</v>
      </c>
      <c r="N129" s="5" t="str">
        <f>IFERROR(IF(VLOOKUP(Tbl_Donnees[[#This Row],[Référence]]&amp;"",Tbl_Catalogue[],9,FALSE)=0,"-",VLOOKUP(Tbl_Donnees[[#This Row],[Référence]]&amp;"",Tbl_Catalogue[],9,FALSE)),"-")</f>
        <v>-</v>
      </c>
      <c r="O129" s="5" t="str">
        <f>IFERROR(IF(VLOOKUP(Tbl_Donnees[[#This Row],[Référence]]&amp;"",Tbl_Catalogue[],11,FALSE)=0,"-",VLOOKUP(Tbl_Donnees[[#This Row],[Référence]]&amp;"",Tbl_Catalogue[],11,FALSE)),"-")</f>
        <v>-</v>
      </c>
      <c r="P129" s="2" t="str">
        <f>IFERROR(IF(VLOOKUP(Tbl_Donnees[[#This Row],[Référence]]&amp;"",Tbl_Catalogue[],12,FALSE)=0,"-",VLOOKUP(Tbl_Donnees[[#This Row],[Référence]]&amp;"",Tbl_Catalogue[],12,FALSE)),"-")</f>
        <v>-</v>
      </c>
      <c r="Q129" s="13" t="str">
        <f>IFERROR(IF(VLOOKUP(Tbl_Donnees[[#This Row],[Référence]]&amp;"",Tbl_Catalogue[],13,FALSE)=0,"-",VLOOKUP(Tbl_Donnees[[#This Row],[Référence]]&amp;"",Tbl_Catalogue[],13,FALSE)),"-")</f>
        <v>-</v>
      </c>
      <c r="R129" s="2"/>
    </row>
    <row r="130" spans="1:18" x14ac:dyDescent="0.2">
      <c r="A130" s="2" t="s">
        <v>356</v>
      </c>
      <c r="B130" s="5" t="s">
        <v>620</v>
      </c>
      <c r="C130" s="5" t="s">
        <v>60</v>
      </c>
      <c r="D130" s="6" t="str">
        <f>IFERROR(IF(VLOOKUP(Tbl_Donnees[[#This Row],[Référence]]&amp;"",Tbl_Catalogue[],3,FALSE)=0,"-",VLOOKUP(Tbl_Donnees[[#This Row],[Référence]]&amp;"",Tbl_Catalogue[],3,FALSE)),"-")</f>
        <v>BLOC AUXILIAIRE COUPURE</v>
      </c>
      <c r="E130" s="6">
        <v>1</v>
      </c>
      <c r="F130" s="6" t="str">
        <f>IFERROR(IF(VLOOKUP(Tbl_Donnees[[#This Row],[Référence]]&amp;"",Tbl_Catalogue[],2,FALSE)=0,"-",VLOOKUP(Tbl_Donnees[[#This Row],[Référence]]&amp;"",Tbl_Catalogue[],2,FALSE)),"-")</f>
        <v>BACO CONTROLS</v>
      </c>
      <c r="G130" s="20" t="s">
        <v>713</v>
      </c>
      <c r="H130" s="6" t="str">
        <f>IFERROR(IF(VLOOKUP(Tbl_Donnees[[#This Row],[Référence]]&amp;"",Tbl_Catalogue[],4,FALSE)=0,"-",VLOOKUP(Tbl_Donnees[[#This Row],[Référence]]&amp;"",Tbl_Catalogue[],4,FALSE)),"-")</f>
        <v>-</v>
      </c>
      <c r="I130" s="2" t="str">
        <f>IFERROR(IF(VLOOKUP(Tbl_Donnees[[#This Row],[Référence]]&amp;"",Tbl_Catalogue[],5,FALSE)=0,"-",VLOOKUP(Tbl_Donnees[[#This Row],[Référence]]&amp;"",Tbl_Catalogue[],5,FALSE)),"INCONNU")</f>
        <v>INCONNU</v>
      </c>
      <c r="J130" s="3" t="str">
        <f>IFERROR(IF(VLOOKUP(Tbl_Donnees[[#This Row],[Référence]]&amp;"",Tbl_Catalogue[],6,FALSE)=0,"-",VLOOKUP(Tbl_Donnees[[#This Row],[Référence]]&amp;"",Tbl_Catalogue[],6,FALSE)),"-")</f>
        <v>https://products.bacocontrols.com/item/all-categories/disconnect-switches/0172195</v>
      </c>
      <c r="K130" s="2" t="str">
        <f>IFERROR(IF(VLOOKUP(Tbl_Donnees[[#This Row],[Référence]]&amp;"",Tbl_Catalogue[],7,FALSE)=0,"-",VLOOKUP(Tbl_Donnees[[#This Row],[Référence]]&amp;"",Tbl_Catalogue[],7,FALSE)),"-")</f>
        <v>INCONNU</v>
      </c>
      <c r="L130" s="5" t="str">
        <f>IFERROR(IF(VLOOKUP(Tbl_Donnees[[#This Row],[Référence]]&amp;"",Tbl_Catalogue[],10,FALSE)=0,"-",VLOOKUP(Tbl_Donnees[[#This Row],[Référence]]&amp;"",Tbl_Catalogue[],10,FALSE)),"-")</f>
        <v>-</v>
      </c>
      <c r="M130" s="2" t="str">
        <f>IFERROR(IF(VLOOKUP(Tbl_Donnees[[#This Row],[Référence]]&amp;"",Tbl_Catalogue[],8,FALSE)=0,"-",VLOOKUP(Tbl_Donnees[[#This Row],[Référence]]&amp;"",Tbl_Catalogue[],8,FALSE)),"-")</f>
        <v>-</v>
      </c>
      <c r="N130" s="5" t="str">
        <f>IFERROR(IF(VLOOKUP(Tbl_Donnees[[#This Row],[Référence]]&amp;"",Tbl_Catalogue[],9,FALSE)=0,"-",VLOOKUP(Tbl_Donnees[[#This Row],[Référence]]&amp;"",Tbl_Catalogue[],9,FALSE)),"-")</f>
        <v>-</v>
      </c>
      <c r="O130" s="5" t="str">
        <f>IFERROR(IF(VLOOKUP(Tbl_Donnees[[#This Row],[Référence]]&amp;"",Tbl_Catalogue[],11,FALSE)=0,"-",VLOOKUP(Tbl_Donnees[[#This Row],[Référence]]&amp;"",Tbl_Catalogue[],11,FALSE)),"-")</f>
        <v>-</v>
      </c>
      <c r="P130" s="2" t="str">
        <f>IFERROR(IF(VLOOKUP(Tbl_Donnees[[#This Row],[Référence]]&amp;"",Tbl_Catalogue[],12,FALSE)=0,"-",VLOOKUP(Tbl_Donnees[[#This Row],[Référence]]&amp;"",Tbl_Catalogue[],12,FALSE)),"-")</f>
        <v>-</v>
      </c>
      <c r="Q130" s="13" t="str">
        <f>IFERROR(IF(VLOOKUP(Tbl_Donnees[[#This Row],[Référence]]&amp;"",Tbl_Catalogue[],13,FALSE)=0,"-",VLOOKUP(Tbl_Donnees[[#This Row],[Référence]]&amp;"",Tbl_Catalogue[],13,FALSE)),"-")</f>
        <v>-</v>
      </c>
      <c r="R130" s="2"/>
    </row>
    <row r="131" spans="1:18" x14ac:dyDescent="0.2">
      <c r="A131" s="2" t="s">
        <v>356</v>
      </c>
      <c r="B131" s="5" t="s">
        <v>620</v>
      </c>
      <c r="C131" s="5" t="s">
        <v>60</v>
      </c>
      <c r="D131" s="6" t="str">
        <f>IFERROR(IF(VLOOKUP(Tbl_Donnees[[#This Row],[Référence]]&amp;"",Tbl_Catalogue[],3,FALSE)=0,"-",VLOOKUP(Tbl_Donnees[[#This Row],[Référence]]&amp;"",Tbl_Catalogue[],3,FALSE)),"-")</f>
        <v>INTERRUPTEUR SECTIONNEUR</v>
      </c>
      <c r="E131" s="6">
        <v>1</v>
      </c>
      <c r="F131" s="6" t="str">
        <f>IFERROR(IF(VLOOKUP(Tbl_Donnees[[#This Row],[Référence]]&amp;"",Tbl_Catalogue[],2,FALSE)=0,"-",VLOOKUP(Tbl_Donnees[[#This Row],[Référence]]&amp;"",Tbl_Catalogue[],2,FALSE)),"-")</f>
        <v>BACO CONTROLS</v>
      </c>
      <c r="G131" s="20" t="s">
        <v>714</v>
      </c>
      <c r="H131" s="6" t="str">
        <f>IFERROR(IF(VLOOKUP(Tbl_Donnees[[#This Row],[Référence]]&amp;"",Tbl_Catalogue[],4,FALSE)=0,"-",VLOOKUP(Tbl_Donnees[[#This Row],[Référence]]&amp;"",Tbl_Catalogue[],4,FALSE)),"-")</f>
        <v>-</v>
      </c>
      <c r="I131" s="2" t="str">
        <f>IFERROR(IF(VLOOKUP(Tbl_Donnees[[#This Row],[Référence]]&amp;"",Tbl_Catalogue[],5,FALSE)=0,"-",VLOOKUP(Tbl_Donnees[[#This Row],[Référence]]&amp;"",Tbl_Catalogue[],5,FALSE)),"INCONNU")</f>
        <v>INCONNU</v>
      </c>
      <c r="J131" s="3" t="str">
        <f>IFERROR(IF(VLOOKUP(Tbl_Donnees[[#This Row],[Référence]]&amp;"",Tbl_Catalogue[],6,FALSE)=0,"-",VLOOKUP(Tbl_Donnees[[#This Row],[Référence]]&amp;"",Tbl_Catalogue[],6,FALSE)),"-")</f>
        <v>https://products.bacocontrols.com/item/all-categories/disconnect-switches/0174401</v>
      </c>
      <c r="K131" s="2" t="str">
        <f>IFERROR(IF(VLOOKUP(Tbl_Donnees[[#This Row],[Référence]]&amp;"",Tbl_Catalogue[],7,FALSE)=0,"-",VLOOKUP(Tbl_Donnees[[#This Row],[Référence]]&amp;"",Tbl_Catalogue[],7,FALSE)),"-")</f>
        <v>INCONNU</v>
      </c>
      <c r="L131" s="5" t="str">
        <f>IFERROR(IF(VLOOKUP(Tbl_Donnees[[#This Row],[Référence]]&amp;"",Tbl_Catalogue[],10,FALSE)=0,"-",VLOOKUP(Tbl_Donnees[[#This Row],[Référence]]&amp;"",Tbl_Catalogue[],10,FALSE)),"-")</f>
        <v>-</v>
      </c>
      <c r="M131" s="2" t="str">
        <f>IFERROR(IF(VLOOKUP(Tbl_Donnees[[#This Row],[Référence]]&amp;"",Tbl_Catalogue[],8,FALSE)=0,"-",VLOOKUP(Tbl_Donnees[[#This Row],[Référence]]&amp;"",Tbl_Catalogue[],8,FALSE)),"-")</f>
        <v>-</v>
      </c>
      <c r="N131" s="5" t="str">
        <f>IFERROR(IF(VLOOKUP(Tbl_Donnees[[#This Row],[Référence]]&amp;"",Tbl_Catalogue[],9,FALSE)=0,"-",VLOOKUP(Tbl_Donnees[[#This Row],[Référence]]&amp;"",Tbl_Catalogue[],9,FALSE)),"-")</f>
        <v>-</v>
      </c>
      <c r="O131" s="5" t="str">
        <f>IFERROR(IF(VLOOKUP(Tbl_Donnees[[#This Row],[Référence]]&amp;"",Tbl_Catalogue[],11,FALSE)=0,"-",VLOOKUP(Tbl_Donnees[[#This Row],[Référence]]&amp;"",Tbl_Catalogue[],11,FALSE)),"-")</f>
        <v>-</v>
      </c>
      <c r="P131" s="2" t="str">
        <f>IFERROR(IF(VLOOKUP(Tbl_Donnees[[#This Row],[Référence]]&amp;"",Tbl_Catalogue[],12,FALSE)=0,"-",VLOOKUP(Tbl_Donnees[[#This Row],[Référence]]&amp;"",Tbl_Catalogue[],12,FALSE)),"-")</f>
        <v>-</v>
      </c>
      <c r="Q131" s="13" t="str">
        <f>IFERROR(IF(VLOOKUP(Tbl_Donnees[[#This Row],[Référence]]&amp;"",Tbl_Catalogue[],13,FALSE)=0,"-",VLOOKUP(Tbl_Donnees[[#This Row],[Référence]]&amp;"",Tbl_Catalogue[],13,FALSE)),"-")</f>
        <v>-</v>
      </c>
      <c r="R131" s="5"/>
    </row>
    <row r="132" spans="1:18" x14ac:dyDescent="0.2">
      <c r="A132" s="2" t="s">
        <v>356</v>
      </c>
      <c r="B132" s="5" t="s">
        <v>620</v>
      </c>
      <c r="C132" s="5" t="s">
        <v>60</v>
      </c>
      <c r="D132" s="6" t="str">
        <f>IFERROR(IF(VLOOKUP(Tbl_Donnees[[#This Row],[Référence]]&amp;"",Tbl_Catalogue[],3,FALSE)=0,"-",VLOOKUP(Tbl_Donnees[[#This Row],[Référence]]&amp;"",Tbl_Catalogue[],3,FALSE)),"-")</f>
        <v>COFFRET COMMANDE BANDE</v>
      </c>
      <c r="E132" s="6">
        <v>1</v>
      </c>
      <c r="F132" s="6" t="str">
        <f>IFERROR(IF(VLOOKUP(Tbl_Donnees[[#This Row],[Référence]]&amp;"",Tbl_Catalogue[],2,FALSE)=0,"-",VLOOKUP(Tbl_Donnees[[#This Row],[Référence]]&amp;"",Tbl_Catalogue[],2,FALSE)),"-")</f>
        <v>AUTOMATION EQUIPEMENT</v>
      </c>
      <c r="G132" s="20" t="s">
        <v>254</v>
      </c>
      <c r="H132" s="6" t="str">
        <f>IFERROR(IF(VLOOKUP(Tbl_Donnees[[#This Row],[Référence]]&amp;"",Tbl_Catalogue[],4,FALSE)=0,"-",VLOOKUP(Tbl_Donnees[[#This Row],[Référence]]&amp;"",Tbl_Catalogue[],4,FALSE)),"-")</f>
        <v>-</v>
      </c>
      <c r="I132" s="2" t="str">
        <f>IFERROR(IF(VLOOKUP(Tbl_Donnees[[#This Row],[Référence]]&amp;"",Tbl_Catalogue[],5,FALSE)=0,"-",VLOOKUP(Tbl_Donnees[[#This Row],[Référence]]&amp;"",Tbl_Catalogue[],5,FALSE)),"INCONNU")</f>
        <v>INCONNU</v>
      </c>
      <c r="J132" s="3" t="str">
        <f>IFERROR(IF(VLOOKUP(Tbl_Donnees[[#This Row],[Référence]]&amp;"",Tbl_Catalogue[],6,FALSE)=0,"-",VLOOKUP(Tbl_Donnees[[#This Row],[Référence]]&amp;"",Tbl_Catalogue[],6,FALSE)),"-")</f>
        <v>-</v>
      </c>
      <c r="K132" s="2" t="str">
        <f>IFERROR(IF(VLOOKUP(Tbl_Donnees[[#This Row],[Référence]]&amp;"",Tbl_Catalogue[],7,FALSE)=0,"-",VLOOKUP(Tbl_Donnees[[#This Row],[Référence]]&amp;"",Tbl_Catalogue[],7,FALSE)),"-")</f>
        <v>INCONNU</v>
      </c>
      <c r="L132" s="5" t="str">
        <f>IFERROR(IF(VLOOKUP(Tbl_Donnees[[#This Row],[Référence]]&amp;"",Tbl_Catalogue[],10,FALSE)=0,"-",VLOOKUP(Tbl_Donnees[[#This Row],[Référence]]&amp;"",Tbl_Catalogue[],10,FALSE)),"-")</f>
        <v>-</v>
      </c>
      <c r="M132" s="2" t="str">
        <f>IFERROR(IF(VLOOKUP(Tbl_Donnees[[#This Row],[Référence]]&amp;"",Tbl_Catalogue[],8,FALSE)=0,"-",VLOOKUP(Tbl_Donnees[[#This Row],[Référence]]&amp;"",Tbl_Catalogue[],8,FALSE)),"-")</f>
        <v>-</v>
      </c>
      <c r="N132" s="5" t="str">
        <f>IFERROR(IF(VLOOKUP(Tbl_Donnees[[#This Row],[Référence]]&amp;"",Tbl_Catalogue[],9,FALSE)=0,"-",VLOOKUP(Tbl_Donnees[[#This Row],[Référence]]&amp;"",Tbl_Catalogue[],9,FALSE)),"-")</f>
        <v>-</v>
      </c>
      <c r="O132" s="5" t="str">
        <f>IFERROR(IF(VLOOKUP(Tbl_Donnees[[#This Row],[Référence]]&amp;"",Tbl_Catalogue[],11,FALSE)=0,"-",VLOOKUP(Tbl_Donnees[[#This Row],[Référence]]&amp;"",Tbl_Catalogue[],11,FALSE)),"-")</f>
        <v>-</v>
      </c>
      <c r="P132" s="2" t="str">
        <f>IFERROR(IF(VLOOKUP(Tbl_Donnees[[#This Row],[Référence]]&amp;"",Tbl_Catalogue[],12,FALSE)=0,"-",VLOOKUP(Tbl_Donnees[[#This Row],[Référence]]&amp;"",Tbl_Catalogue[],12,FALSE)),"-")</f>
        <v>-</v>
      </c>
      <c r="Q132" s="13" t="str">
        <f>IFERROR(IF(VLOOKUP(Tbl_Donnees[[#This Row],[Référence]]&amp;"",Tbl_Catalogue[],13,FALSE)=0,"-",VLOOKUP(Tbl_Donnees[[#This Row],[Référence]]&amp;"",Tbl_Catalogue[],13,FALSE)),"-")</f>
        <v>-</v>
      </c>
      <c r="R132" s="5"/>
    </row>
    <row r="133" spans="1:18" x14ac:dyDescent="0.2">
      <c r="A133" s="2" t="s">
        <v>356</v>
      </c>
      <c r="B133" s="5" t="s">
        <v>620</v>
      </c>
      <c r="C133" s="5" t="s">
        <v>140</v>
      </c>
      <c r="D133" s="6" t="str">
        <f>IFERROR(IF(VLOOKUP(Tbl_Donnees[[#This Row],[Référence]]&amp;"",Tbl_Catalogue[],3,FALSE)=0,"-",VLOOKUP(Tbl_Donnees[[#This Row],[Référence]]&amp;"",Tbl_Catalogue[],3,FALSE)),"-")</f>
        <v>ELECTROVANNE ULCSV</v>
      </c>
      <c r="E133" s="6">
        <v>1</v>
      </c>
      <c r="F133" s="6" t="str">
        <f>IFERROR(IF(VLOOKUP(Tbl_Donnees[[#This Row],[Référence]]&amp;"",Tbl_Catalogue[],2,FALSE)=0,"-",VLOOKUP(Tbl_Donnees[[#This Row],[Référence]]&amp;"",Tbl_Catalogue[],2,FALSE)),"-")</f>
        <v>WAIRCOM</v>
      </c>
      <c r="G133" s="20" t="s">
        <v>300</v>
      </c>
      <c r="H133" s="6" t="str">
        <f>IFERROR(IF(VLOOKUP(Tbl_Donnees[[#This Row],[Référence]]&amp;"",Tbl_Catalogue[],4,FALSE)=0,"-",VLOOKUP(Tbl_Donnees[[#This Row],[Référence]]&amp;"",Tbl_Catalogue[],4,FALSE)),"-")</f>
        <v>Obsolète</v>
      </c>
      <c r="I133" s="2" t="str">
        <f>IFERROR(IF(VLOOKUP(Tbl_Donnees[[#This Row],[Référence]]&amp;"",Tbl_Catalogue[],5,FALSE)=0,"-",VLOOKUP(Tbl_Donnees[[#This Row],[Référence]]&amp;"",Tbl_Catalogue[],5,FALSE)),"INCONNU")</f>
        <v>INCONNU</v>
      </c>
      <c r="J133" s="3" t="str">
        <f>IFERROR(IF(VLOOKUP(Tbl_Donnees[[#This Row],[Référence]]&amp;"",Tbl_Catalogue[],6,FALSE)=0,"-",VLOOKUP(Tbl_Donnees[[#This Row],[Référence]]&amp;"",Tbl_Catalogue[],6,FALSE)),"-")</f>
        <v>-</v>
      </c>
      <c r="K133" s="2" t="str">
        <f>IFERROR(IF(VLOOKUP(Tbl_Donnees[[#This Row],[Référence]]&amp;"",Tbl_Catalogue[],7,FALSE)=0,"-",VLOOKUP(Tbl_Donnees[[#This Row],[Référence]]&amp;"",Tbl_Catalogue[],7,FALSE)),"-")</f>
        <v>INCONNU</v>
      </c>
      <c r="L133" s="5" t="str">
        <f>IFERROR(IF(VLOOKUP(Tbl_Donnees[[#This Row],[Référence]]&amp;"",Tbl_Catalogue[],10,FALSE)=0,"-",VLOOKUP(Tbl_Donnees[[#This Row],[Référence]]&amp;"",Tbl_Catalogue[],10,FALSE)),"-")</f>
        <v>-</v>
      </c>
      <c r="M133" s="2" t="str">
        <f>IFERROR(IF(VLOOKUP(Tbl_Donnees[[#This Row],[Référence]]&amp;"",Tbl_Catalogue[],8,FALSE)=0,"-",VLOOKUP(Tbl_Donnees[[#This Row],[Référence]]&amp;"",Tbl_Catalogue[],8,FALSE)),"-")</f>
        <v>-</v>
      </c>
      <c r="N133" s="5" t="str">
        <f>IFERROR(IF(VLOOKUP(Tbl_Donnees[[#This Row],[Référence]]&amp;"",Tbl_Catalogue[],9,FALSE)=0,"-",VLOOKUP(Tbl_Donnees[[#This Row],[Référence]]&amp;"",Tbl_Catalogue[],9,FALSE)),"-")</f>
        <v>-</v>
      </c>
      <c r="O133" s="5" t="str">
        <f>IFERROR(IF(VLOOKUP(Tbl_Donnees[[#This Row],[Référence]]&amp;"",Tbl_Catalogue[],11,FALSE)=0,"-",VLOOKUP(Tbl_Donnees[[#This Row],[Référence]]&amp;"",Tbl_Catalogue[],11,FALSE)),"-")</f>
        <v>-</v>
      </c>
      <c r="P133" s="2" t="str">
        <f>IFERROR(IF(VLOOKUP(Tbl_Donnees[[#This Row],[Référence]]&amp;"",Tbl_Catalogue[],12,FALSE)=0,"-",VLOOKUP(Tbl_Donnees[[#This Row],[Référence]]&amp;"",Tbl_Catalogue[],12,FALSE)),"-")</f>
        <v>-</v>
      </c>
      <c r="Q133" s="13" t="str">
        <f>IFERROR(IF(VLOOKUP(Tbl_Donnees[[#This Row],[Référence]]&amp;"",Tbl_Catalogue[],13,FALSE)=0,"-",VLOOKUP(Tbl_Donnees[[#This Row],[Référence]]&amp;"",Tbl_Catalogue[],13,FALSE)),"-")</f>
        <v>-</v>
      </c>
      <c r="R133" s="5"/>
    </row>
    <row r="134" spans="1:18" x14ac:dyDescent="0.2">
      <c r="A134" s="2" t="s">
        <v>356</v>
      </c>
      <c r="B134" s="5" t="s">
        <v>620</v>
      </c>
      <c r="C134" s="5" t="s">
        <v>140</v>
      </c>
      <c r="D134" s="6" t="str">
        <f>IFERROR(IF(VLOOKUP(Tbl_Donnees[[#This Row],[Référence]]&amp;"",Tbl_Catalogue[],3,FALSE)=0,"-",VLOOKUP(Tbl_Donnees[[#This Row],[Référence]]&amp;"",Tbl_Catalogue[],3,FALSE)),"-")</f>
        <v>POMPE HYDRAULIQUE PMS</v>
      </c>
      <c r="E134" s="6">
        <v>1</v>
      </c>
      <c r="F134" s="6" t="str">
        <f>IFERROR(IF(VLOOKUP(Tbl_Donnees[[#This Row],[Référence]]&amp;"",Tbl_Catalogue[],2,FALSE)=0,"-",VLOOKUP(Tbl_Donnees[[#This Row],[Référence]]&amp;"",Tbl_Catalogue[],2,FALSE)),"-")</f>
        <v>SPANDAU PUMPEN</v>
      </c>
      <c r="G134" s="20" t="s">
        <v>258</v>
      </c>
      <c r="H134" s="6" t="str">
        <f>IFERROR(IF(VLOOKUP(Tbl_Donnees[[#This Row],[Référence]]&amp;"",Tbl_Catalogue[],4,FALSE)=0,"-",VLOOKUP(Tbl_Donnees[[#This Row],[Référence]]&amp;"",Tbl_Catalogue[],4,FALSE)),"-")</f>
        <v>-</v>
      </c>
      <c r="I134" s="2" t="str">
        <f>IFERROR(IF(VLOOKUP(Tbl_Donnees[[#This Row],[Référence]]&amp;"",Tbl_Catalogue[],5,FALSE)=0,"-",VLOOKUP(Tbl_Donnees[[#This Row],[Référence]]&amp;"",Tbl_Catalogue[],5,FALSE)),"INCONNU")</f>
        <v>INCONNU</v>
      </c>
      <c r="J134" s="3" t="str">
        <f>IFERROR(IF(VLOOKUP(Tbl_Donnees[[#This Row],[Référence]]&amp;"",Tbl_Catalogue[],6,FALSE)=0,"-",VLOOKUP(Tbl_Donnees[[#This Row],[Référence]]&amp;"",Tbl_Catalogue[],6,FALSE)),"-")</f>
        <v>https://www.spandaupumpen.com/product/pms/</v>
      </c>
      <c r="K134" s="2" t="str">
        <f>IFERROR(IF(VLOOKUP(Tbl_Donnees[[#This Row],[Référence]]&amp;"",Tbl_Catalogue[],7,FALSE)=0,"-",VLOOKUP(Tbl_Donnees[[#This Row],[Référence]]&amp;"",Tbl_Catalogue[],7,FALSE)),"-")</f>
        <v>INCONNU</v>
      </c>
      <c r="L134" s="5" t="str">
        <f>IFERROR(IF(VLOOKUP(Tbl_Donnees[[#This Row],[Référence]]&amp;"",Tbl_Catalogue[],10,FALSE)=0,"-",VLOOKUP(Tbl_Donnees[[#This Row],[Référence]]&amp;"",Tbl_Catalogue[],10,FALSE)),"-")</f>
        <v>-</v>
      </c>
      <c r="M134" s="2" t="str">
        <f>IFERROR(IF(VLOOKUP(Tbl_Donnees[[#This Row],[Référence]]&amp;"",Tbl_Catalogue[],8,FALSE)=0,"-",VLOOKUP(Tbl_Donnees[[#This Row],[Référence]]&amp;"",Tbl_Catalogue[],8,FALSE)),"-")</f>
        <v>-</v>
      </c>
      <c r="N134" s="5" t="str">
        <f>IFERROR(IF(VLOOKUP(Tbl_Donnees[[#This Row],[Référence]]&amp;"",Tbl_Catalogue[],9,FALSE)=0,"-",VLOOKUP(Tbl_Donnees[[#This Row],[Référence]]&amp;"",Tbl_Catalogue[],9,FALSE)),"-")</f>
        <v>-</v>
      </c>
      <c r="O134" s="5" t="str">
        <f>IFERROR(IF(VLOOKUP(Tbl_Donnees[[#This Row],[Référence]]&amp;"",Tbl_Catalogue[],11,FALSE)=0,"-",VLOOKUP(Tbl_Donnees[[#This Row],[Référence]]&amp;"",Tbl_Catalogue[],11,FALSE)),"-")</f>
        <v>-</v>
      </c>
      <c r="P134" s="2" t="str">
        <f>IFERROR(IF(VLOOKUP(Tbl_Donnees[[#This Row],[Référence]]&amp;"",Tbl_Catalogue[],12,FALSE)=0,"-",VLOOKUP(Tbl_Donnees[[#This Row],[Référence]]&amp;"",Tbl_Catalogue[],12,FALSE)),"-")</f>
        <v>-</v>
      </c>
      <c r="Q134" s="13" t="str">
        <f>IFERROR(IF(VLOOKUP(Tbl_Donnees[[#This Row],[Référence]]&amp;"",Tbl_Catalogue[],13,FALSE)=0,"-",VLOOKUP(Tbl_Donnees[[#This Row],[Référence]]&amp;"",Tbl_Catalogue[],13,FALSE)),"-")</f>
        <v>-</v>
      </c>
      <c r="R134" s="2"/>
    </row>
    <row r="135" spans="1:18" x14ac:dyDescent="0.2">
      <c r="A135" s="2" t="s">
        <v>356</v>
      </c>
      <c r="B135" s="5" t="s">
        <v>620</v>
      </c>
      <c r="C135" s="5" t="s">
        <v>140</v>
      </c>
      <c r="D135" s="6" t="str">
        <f>IFERROR(IF(VLOOKUP(Tbl_Donnees[[#This Row],[Référence]]&amp;"",Tbl_Catalogue[],3,FALSE)=0,"-",VLOOKUP(Tbl_Donnees[[#This Row],[Référence]]&amp;"",Tbl_Catalogue[],3,FALSE)),"-")</f>
        <v>POMPE HYDRAULIQUE 150FAM</v>
      </c>
      <c r="E135" s="6">
        <v>1</v>
      </c>
      <c r="F135" s="6" t="str">
        <f>IFERROR(IF(VLOOKUP(Tbl_Donnees[[#This Row],[Référence]]&amp;"",Tbl_Catalogue[],2,FALSE)=0,"-",VLOOKUP(Tbl_Donnees[[#This Row],[Référence]]&amp;"",Tbl_Catalogue[],2,FALSE)),"-")</f>
        <v>PUMPENFABRIK</v>
      </c>
      <c r="G135" s="20" t="s">
        <v>269</v>
      </c>
      <c r="H135" s="6" t="str">
        <f>IFERROR(IF(VLOOKUP(Tbl_Donnees[[#This Row],[Référence]]&amp;"",Tbl_Catalogue[],4,FALSE)=0,"-",VLOOKUP(Tbl_Donnees[[#This Row],[Référence]]&amp;"",Tbl_Catalogue[],4,FALSE)),"-")</f>
        <v>Obsolète</v>
      </c>
      <c r="I135" s="2" t="str">
        <f>IFERROR(IF(VLOOKUP(Tbl_Donnees[[#This Row],[Référence]]&amp;"",Tbl_Catalogue[],5,FALSE)=0,"-",VLOOKUP(Tbl_Donnees[[#This Row],[Référence]]&amp;"",Tbl_Catalogue[],5,FALSE)),"INCONNU")</f>
        <v>INCONNU</v>
      </c>
      <c r="J135" s="3" t="str">
        <f>IFERROR(IF(VLOOKUP(Tbl_Donnees[[#This Row],[Référence]]&amp;"",Tbl_Catalogue[],6,FALSE)=0,"-",VLOOKUP(Tbl_Donnees[[#This Row],[Référence]]&amp;"",Tbl_Catalogue[],6,FALSE)),"-")</f>
        <v>-</v>
      </c>
      <c r="K135" s="2" t="str">
        <f>IFERROR(IF(VLOOKUP(Tbl_Donnees[[#This Row],[Référence]]&amp;"",Tbl_Catalogue[],7,FALSE)=0,"-",VLOOKUP(Tbl_Donnees[[#This Row],[Référence]]&amp;"",Tbl_Catalogue[],7,FALSE)),"-")</f>
        <v>INCONNU</v>
      </c>
      <c r="L135" s="5" t="str">
        <f>IFERROR(IF(VLOOKUP(Tbl_Donnees[[#This Row],[Référence]]&amp;"",Tbl_Catalogue[],10,FALSE)=0,"-",VLOOKUP(Tbl_Donnees[[#This Row],[Référence]]&amp;"",Tbl_Catalogue[],10,FALSE)),"-")</f>
        <v>-</v>
      </c>
      <c r="M135" s="2" t="str">
        <f>IFERROR(IF(VLOOKUP(Tbl_Donnees[[#This Row],[Référence]]&amp;"",Tbl_Catalogue[],8,FALSE)=0,"-",VLOOKUP(Tbl_Donnees[[#This Row],[Référence]]&amp;"",Tbl_Catalogue[],8,FALSE)),"-")</f>
        <v>-</v>
      </c>
      <c r="N135" s="5" t="str">
        <f>IFERROR(IF(VLOOKUP(Tbl_Donnees[[#This Row],[Référence]]&amp;"",Tbl_Catalogue[],9,FALSE)=0,"-",VLOOKUP(Tbl_Donnees[[#This Row],[Référence]]&amp;"",Tbl_Catalogue[],9,FALSE)),"-")</f>
        <v>-</v>
      </c>
      <c r="O135" s="5" t="str">
        <f>IFERROR(IF(VLOOKUP(Tbl_Donnees[[#This Row],[Référence]]&amp;"",Tbl_Catalogue[],11,FALSE)=0,"-",VLOOKUP(Tbl_Donnees[[#This Row],[Référence]]&amp;"",Tbl_Catalogue[],11,FALSE)),"-")</f>
        <v>-</v>
      </c>
      <c r="P135" s="2" t="str">
        <f>IFERROR(IF(VLOOKUP(Tbl_Donnees[[#This Row],[Référence]]&amp;"",Tbl_Catalogue[],12,FALSE)=0,"-",VLOOKUP(Tbl_Donnees[[#This Row],[Référence]]&amp;"",Tbl_Catalogue[],12,FALSE)),"-")</f>
        <v>-</v>
      </c>
      <c r="Q135" s="13" t="str">
        <f>IFERROR(IF(VLOOKUP(Tbl_Donnees[[#This Row],[Référence]]&amp;"",Tbl_Catalogue[],13,FALSE)=0,"-",VLOOKUP(Tbl_Donnees[[#This Row],[Référence]]&amp;"",Tbl_Catalogue[],13,FALSE)),"-")</f>
        <v>-</v>
      </c>
      <c r="R135" s="5"/>
    </row>
    <row r="136" spans="1:18" x14ac:dyDescent="0.2">
      <c r="A136" s="2" t="s">
        <v>356</v>
      </c>
      <c r="B136" s="5" t="s">
        <v>620</v>
      </c>
      <c r="C136" s="5" t="s">
        <v>140</v>
      </c>
      <c r="D136" s="6" t="str">
        <f>IFERROR(IF(VLOOKUP(Tbl_Donnees[[#This Row],[Référence]]&amp;"",Tbl_Catalogue[],3,FALSE)=0,"-",VLOOKUP(Tbl_Donnees[[#This Row],[Référence]]&amp;"",Tbl_Catalogue[],3,FALSE)),"-")</f>
        <v>VALVE PNEUMATIQUE P3H</v>
      </c>
      <c r="E136" s="6">
        <v>1</v>
      </c>
      <c r="F136" s="6" t="str">
        <f>IFERROR(IF(VLOOKUP(Tbl_Donnees[[#This Row],[Référence]]&amp;"",Tbl_Catalogue[],2,FALSE)=0,"-",VLOOKUP(Tbl_Donnees[[#This Row],[Référence]]&amp;"",Tbl_Catalogue[],2,FALSE)),"-")</f>
        <v>PARKER</v>
      </c>
      <c r="G136" s="20" t="s">
        <v>290</v>
      </c>
      <c r="H136" s="6" t="str">
        <f>IFERROR(IF(VLOOKUP(Tbl_Donnees[[#This Row],[Référence]]&amp;"",Tbl_Catalogue[],4,FALSE)=0,"-",VLOOKUP(Tbl_Donnees[[#This Row],[Référence]]&amp;"",Tbl_Catalogue[],4,FALSE)),"-")</f>
        <v>Obsolète</v>
      </c>
      <c r="I136" s="2" t="str">
        <f>IFERROR(IF(VLOOKUP(Tbl_Donnees[[#This Row],[Référence]]&amp;"",Tbl_Catalogue[],5,FALSE)=0,"-",VLOOKUP(Tbl_Donnees[[#This Row],[Référence]]&amp;"",Tbl_Catalogue[],5,FALSE)),"INCONNU")</f>
        <v>INCONNU</v>
      </c>
      <c r="J136" s="3" t="str">
        <f>IFERROR(IF(VLOOKUP(Tbl_Donnees[[#This Row],[Référence]]&amp;"",Tbl_Catalogue[],6,FALSE)=0,"-",VLOOKUP(Tbl_Donnees[[#This Row],[Référence]]&amp;"",Tbl_Catalogue[],6,FALSE)),"-")</f>
        <v>-</v>
      </c>
      <c r="K136" s="2" t="str">
        <f>IFERROR(IF(VLOOKUP(Tbl_Donnees[[#This Row],[Référence]]&amp;"",Tbl_Catalogue[],7,FALSE)=0,"-",VLOOKUP(Tbl_Donnees[[#This Row],[Référence]]&amp;"",Tbl_Catalogue[],7,FALSE)),"-")</f>
        <v>INCONNU</v>
      </c>
      <c r="L136" s="5" t="str">
        <f>IFERROR(IF(VLOOKUP(Tbl_Donnees[[#This Row],[Référence]]&amp;"",Tbl_Catalogue[],10,FALSE)=0,"-",VLOOKUP(Tbl_Donnees[[#This Row],[Référence]]&amp;"",Tbl_Catalogue[],10,FALSE)),"-")</f>
        <v>-</v>
      </c>
      <c r="M136" s="2" t="str">
        <f>IFERROR(IF(VLOOKUP(Tbl_Donnees[[#This Row],[Référence]]&amp;"",Tbl_Catalogue[],8,FALSE)=0,"-",VLOOKUP(Tbl_Donnees[[#This Row],[Référence]]&amp;"",Tbl_Catalogue[],8,FALSE)),"-")</f>
        <v>-</v>
      </c>
      <c r="N136" s="5" t="str">
        <f>IFERROR(IF(VLOOKUP(Tbl_Donnees[[#This Row],[Référence]]&amp;"",Tbl_Catalogue[],9,FALSE)=0,"-",VLOOKUP(Tbl_Donnees[[#This Row],[Référence]]&amp;"",Tbl_Catalogue[],9,FALSE)),"-")</f>
        <v>-</v>
      </c>
      <c r="O136" s="5" t="str">
        <f>IFERROR(IF(VLOOKUP(Tbl_Donnees[[#This Row],[Référence]]&amp;"",Tbl_Catalogue[],11,FALSE)=0,"-",VLOOKUP(Tbl_Donnees[[#This Row],[Référence]]&amp;"",Tbl_Catalogue[],11,FALSE)),"-")</f>
        <v>-</v>
      </c>
      <c r="P136" s="2" t="str">
        <f>IFERROR(IF(VLOOKUP(Tbl_Donnees[[#This Row],[Référence]]&amp;"",Tbl_Catalogue[],12,FALSE)=0,"-",VLOOKUP(Tbl_Donnees[[#This Row],[Référence]]&amp;"",Tbl_Catalogue[],12,FALSE)),"-")</f>
        <v>-</v>
      </c>
      <c r="Q136" s="13" t="str">
        <f>IFERROR(IF(VLOOKUP(Tbl_Donnees[[#This Row],[Référence]]&amp;"",Tbl_Catalogue[],13,FALSE)=0,"-",VLOOKUP(Tbl_Donnees[[#This Row],[Référence]]&amp;"",Tbl_Catalogue[],13,FALSE)),"-")</f>
        <v>-</v>
      </c>
      <c r="R136" s="2"/>
    </row>
    <row r="137" spans="1:18" x14ac:dyDescent="0.2">
      <c r="A137" s="2" t="s">
        <v>356</v>
      </c>
      <c r="B137" s="5" t="s">
        <v>620</v>
      </c>
      <c r="C137" s="5" t="s">
        <v>140</v>
      </c>
      <c r="D137" s="6" t="str">
        <f>IFERROR(IF(VLOOKUP(Tbl_Donnees[[#This Row],[Référence]]&amp;"",Tbl_Catalogue[],3,FALSE)=0,"-",VLOOKUP(Tbl_Donnees[[#This Row],[Référence]]&amp;"",Tbl_Catalogue[],3,FALSE)),"-")</f>
        <v>REGULATEUR FILTRE P3H</v>
      </c>
      <c r="E137" s="6">
        <v>1</v>
      </c>
      <c r="F137" s="6" t="str">
        <f>IFERROR(IF(VLOOKUP(Tbl_Donnees[[#This Row],[Référence]]&amp;"",Tbl_Catalogue[],2,FALSE)=0,"-",VLOOKUP(Tbl_Donnees[[#This Row],[Référence]]&amp;"",Tbl_Catalogue[],2,FALSE)),"-")</f>
        <v>PARKER</v>
      </c>
      <c r="G137" s="20" t="s">
        <v>292</v>
      </c>
      <c r="H137" s="6" t="str">
        <f>IFERROR(IF(VLOOKUP(Tbl_Donnees[[#This Row],[Référence]]&amp;"",Tbl_Catalogue[],4,FALSE)=0,"-",VLOOKUP(Tbl_Donnees[[#This Row],[Référence]]&amp;"",Tbl_Catalogue[],4,FALSE)),"-")</f>
        <v>Obsolète</v>
      </c>
      <c r="I137" s="2" t="str">
        <f>IFERROR(IF(VLOOKUP(Tbl_Donnees[[#This Row],[Référence]]&amp;"",Tbl_Catalogue[],5,FALSE)=0,"-",VLOOKUP(Tbl_Donnees[[#This Row],[Référence]]&amp;"",Tbl_Catalogue[],5,FALSE)),"INCONNU")</f>
        <v>INCONNU</v>
      </c>
      <c r="J137" s="3" t="str">
        <f>IFERROR(IF(VLOOKUP(Tbl_Donnees[[#This Row],[Référence]]&amp;"",Tbl_Catalogue[],6,FALSE)=0,"-",VLOOKUP(Tbl_Donnees[[#This Row],[Référence]]&amp;"",Tbl_Catalogue[],6,FALSE)),"-")</f>
        <v>-</v>
      </c>
      <c r="K137" s="2" t="str">
        <f>IFERROR(IF(VLOOKUP(Tbl_Donnees[[#This Row],[Référence]]&amp;"",Tbl_Catalogue[],7,FALSE)=0,"-",VLOOKUP(Tbl_Donnees[[#This Row],[Référence]]&amp;"",Tbl_Catalogue[],7,FALSE)),"-")</f>
        <v>INCONNU</v>
      </c>
      <c r="L137" s="5" t="str">
        <f>IFERROR(IF(VLOOKUP(Tbl_Donnees[[#This Row],[Référence]]&amp;"",Tbl_Catalogue[],10,FALSE)=0,"-",VLOOKUP(Tbl_Donnees[[#This Row],[Référence]]&amp;"",Tbl_Catalogue[],10,FALSE)),"-")</f>
        <v>-</v>
      </c>
      <c r="M137" s="2" t="str">
        <f>IFERROR(IF(VLOOKUP(Tbl_Donnees[[#This Row],[Référence]]&amp;"",Tbl_Catalogue[],8,FALSE)=0,"-",VLOOKUP(Tbl_Donnees[[#This Row],[Référence]]&amp;"",Tbl_Catalogue[],8,FALSE)),"-")</f>
        <v>-</v>
      </c>
      <c r="N137" s="5" t="str">
        <f>IFERROR(IF(VLOOKUP(Tbl_Donnees[[#This Row],[Référence]]&amp;"",Tbl_Catalogue[],9,FALSE)=0,"-",VLOOKUP(Tbl_Donnees[[#This Row],[Référence]]&amp;"",Tbl_Catalogue[],9,FALSE)),"-")</f>
        <v>-</v>
      </c>
      <c r="O137" s="5" t="str">
        <f>IFERROR(IF(VLOOKUP(Tbl_Donnees[[#This Row],[Référence]]&amp;"",Tbl_Catalogue[],11,FALSE)=0,"-",VLOOKUP(Tbl_Donnees[[#This Row],[Référence]]&amp;"",Tbl_Catalogue[],11,FALSE)),"-")</f>
        <v>-</v>
      </c>
      <c r="P137" s="2" t="str">
        <f>IFERROR(IF(VLOOKUP(Tbl_Donnees[[#This Row],[Référence]]&amp;"",Tbl_Catalogue[],12,FALSE)=0,"-",VLOOKUP(Tbl_Donnees[[#This Row],[Référence]]&amp;"",Tbl_Catalogue[],12,FALSE)),"-")</f>
        <v>-</v>
      </c>
      <c r="Q137" s="13" t="str">
        <f>IFERROR(IF(VLOOKUP(Tbl_Donnees[[#This Row],[Référence]]&amp;"",Tbl_Catalogue[],13,FALSE)=0,"-",VLOOKUP(Tbl_Donnees[[#This Row],[Référence]]&amp;"",Tbl_Catalogue[],13,FALSE)),"-")</f>
        <v>-</v>
      </c>
      <c r="R137" s="5"/>
    </row>
    <row r="138" spans="1:18" x14ac:dyDescent="0.2">
      <c r="A138" s="2" t="s">
        <v>356</v>
      </c>
      <c r="B138" s="5" t="s">
        <v>620</v>
      </c>
      <c r="C138" s="5" t="s">
        <v>140</v>
      </c>
      <c r="D138" s="6" t="str">
        <f>IFERROR(IF(VLOOKUP(Tbl_Donnees[[#This Row],[Référence]]&amp;"",Tbl_Catalogue[],3,FALSE)=0,"-",VLOOKUP(Tbl_Donnees[[#This Row],[Référence]]&amp;"",Tbl_Catalogue[],3,FALSE)),"-")</f>
        <v>LUBRIFICATEUR AIR P3H</v>
      </c>
      <c r="E138" s="6">
        <v>1</v>
      </c>
      <c r="F138" s="6" t="str">
        <f>IFERROR(IF(VLOOKUP(Tbl_Donnees[[#This Row],[Référence]]&amp;"",Tbl_Catalogue[],2,FALSE)=0,"-",VLOOKUP(Tbl_Donnees[[#This Row],[Référence]]&amp;"",Tbl_Catalogue[],2,FALSE)),"-")</f>
        <v>PARKER</v>
      </c>
      <c r="G138" s="20" t="s">
        <v>294</v>
      </c>
      <c r="H138" s="6" t="str">
        <f>IFERROR(IF(VLOOKUP(Tbl_Donnees[[#This Row],[Référence]]&amp;"",Tbl_Catalogue[],4,FALSE)=0,"-",VLOOKUP(Tbl_Donnees[[#This Row],[Référence]]&amp;"",Tbl_Catalogue[],4,FALSE)),"-")</f>
        <v>Obsolète</v>
      </c>
      <c r="I138" s="2" t="str">
        <f>IFERROR(IF(VLOOKUP(Tbl_Donnees[[#This Row],[Référence]]&amp;"",Tbl_Catalogue[],5,FALSE)=0,"-",VLOOKUP(Tbl_Donnees[[#This Row],[Référence]]&amp;"",Tbl_Catalogue[],5,FALSE)),"INCONNU")</f>
        <v>INCONNU</v>
      </c>
      <c r="J138" s="3" t="str">
        <f>IFERROR(IF(VLOOKUP(Tbl_Donnees[[#This Row],[Référence]]&amp;"",Tbl_Catalogue[],6,FALSE)=0,"-",VLOOKUP(Tbl_Donnees[[#This Row],[Référence]]&amp;"",Tbl_Catalogue[],6,FALSE)),"-")</f>
        <v>-</v>
      </c>
      <c r="K138" s="2" t="str">
        <f>IFERROR(IF(VLOOKUP(Tbl_Donnees[[#This Row],[Référence]]&amp;"",Tbl_Catalogue[],7,FALSE)=0,"-",VLOOKUP(Tbl_Donnees[[#This Row],[Référence]]&amp;"",Tbl_Catalogue[],7,FALSE)),"-")</f>
        <v>INCONNU</v>
      </c>
      <c r="L138" s="5" t="str">
        <f>IFERROR(IF(VLOOKUP(Tbl_Donnees[[#This Row],[Référence]]&amp;"",Tbl_Catalogue[],10,FALSE)=0,"-",VLOOKUP(Tbl_Donnees[[#This Row],[Référence]]&amp;"",Tbl_Catalogue[],10,FALSE)),"-")</f>
        <v>-</v>
      </c>
      <c r="M138" s="2" t="str">
        <f>IFERROR(IF(VLOOKUP(Tbl_Donnees[[#This Row],[Référence]]&amp;"",Tbl_Catalogue[],8,FALSE)=0,"-",VLOOKUP(Tbl_Donnees[[#This Row],[Référence]]&amp;"",Tbl_Catalogue[],8,FALSE)),"-")</f>
        <v>-</v>
      </c>
      <c r="N138" s="5" t="str">
        <f>IFERROR(IF(VLOOKUP(Tbl_Donnees[[#This Row],[Référence]]&amp;"",Tbl_Catalogue[],9,FALSE)=0,"-",VLOOKUP(Tbl_Donnees[[#This Row],[Référence]]&amp;"",Tbl_Catalogue[],9,FALSE)),"-")</f>
        <v>-</v>
      </c>
      <c r="O138" s="5" t="str">
        <f>IFERROR(IF(VLOOKUP(Tbl_Donnees[[#This Row],[Référence]]&amp;"",Tbl_Catalogue[],11,FALSE)=0,"-",VLOOKUP(Tbl_Donnees[[#This Row],[Référence]]&amp;"",Tbl_Catalogue[],11,FALSE)),"-")</f>
        <v>-</v>
      </c>
      <c r="P138" s="2" t="str">
        <f>IFERROR(IF(VLOOKUP(Tbl_Donnees[[#This Row],[Référence]]&amp;"",Tbl_Catalogue[],12,FALSE)=0,"-",VLOOKUP(Tbl_Donnees[[#This Row],[Référence]]&amp;"",Tbl_Catalogue[],12,FALSE)),"-")</f>
        <v>-</v>
      </c>
      <c r="Q138" s="13" t="str">
        <f>IFERROR(IF(VLOOKUP(Tbl_Donnees[[#This Row],[Référence]]&amp;"",Tbl_Catalogue[],13,FALSE)=0,"-",VLOOKUP(Tbl_Donnees[[#This Row],[Référence]]&amp;"",Tbl_Catalogue[],13,FALSE)),"-")</f>
        <v>-</v>
      </c>
      <c r="R138" s="2"/>
    </row>
    <row r="139" spans="1:18" x14ac:dyDescent="0.2">
      <c r="A139" s="2" t="s">
        <v>356</v>
      </c>
      <c r="B139" s="5" t="s">
        <v>620</v>
      </c>
      <c r="C139" s="5" t="s">
        <v>140</v>
      </c>
      <c r="D139" s="6" t="str">
        <f>IFERROR(IF(VLOOKUP(Tbl_Donnees[[#This Row],[Référence]]&amp;"",Tbl_Catalogue[],3,FALSE)=0,"-",VLOOKUP(Tbl_Donnees[[#This Row],[Référence]]&amp;"",Tbl_Catalogue[],3,FALSE)),"-")</f>
        <v>ELECTROVANNE 5/2 DX1</v>
      </c>
      <c r="E139" s="6">
        <v>1</v>
      </c>
      <c r="F139" s="6" t="str">
        <f>IFERROR(IF(VLOOKUP(Tbl_Donnees[[#This Row],[Référence]]&amp;"",Tbl_Catalogue[],2,FALSE)=0,"-",VLOOKUP(Tbl_Donnees[[#This Row],[Référence]]&amp;"",Tbl_Catalogue[],2,FALSE)),"-")</f>
        <v>PARKER</v>
      </c>
      <c r="G139" s="20" t="s">
        <v>302</v>
      </c>
      <c r="H139" s="6" t="str">
        <f>IFERROR(IF(VLOOKUP(Tbl_Donnees[[#This Row],[Référence]]&amp;"",Tbl_Catalogue[],4,FALSE)=0,"-",VLOOKUP(Tbl_Donnees[[#This Row],[Référence]]&amp;"",Tbl_Catalogue[],4,FALSE)),"-")</f>
        <v>-</v>
      </c>
      <c r="I139" s="2" t="str">
        <f>IFERROR(IF(VLOOKUP(Tbl_Donnees[[#This Row],[Référence]]&amp;"",Tbl_Catalogue[],5,FALSE)=0,"-",VLOOKUP(Tbl_Donnees[[#This Row],[Référence]]&amp;"",Tbl_Catalogue[],5,FALSE)),"INCONNU")</f>
        <v>INCONNU</v>
      </c>
      <c r="J139" s="3" t="str">
        <f>IFERROR(IF(VLOOKUP(Tbl_Donnees[[#This Row],[Référence]]&amp;"",Tbl_Catalogue[],6,FALSE)=0,"-",VLOOKUP(Tbl_Donnees[[#This Row],[Référence]]&amp;"",Tbl_Catalogue[],6,FALSE)),"-")</f>
        <v>-</v>
      </c>
      <c r="K139" s="2" t="str">
        <f>IFERROR(IF(VLOOKUP(Tbl_Donnees[[#This Row],[Référence]]&amp;"",Tbl_Catalogue[],7,FALSE)=0,"-",VLOOKUP(Tbl_Donnees[[#This Row],[Référence]]&amp;"",Tbl_Catalogue[],7,FALSE)),"-")</f>
        <v>INCONNU</v>
      </c>
      <c r="L139" s="5" t="str">
        <f>IFERROR(IF(VLOOKUP(Tbl_Donnees[[#This Row],[Référence]]&amp;"",Tbl_Catalogue[],10,FALSE)=0,"-",VLOOKUP(Tbl_Donnees[[#This Row],[Référence]]&amp;"",Tbl_Catalogue[],10,FALSE)),"-")</f>
        <v>-</v>
      </c>
      <c r="M139" s="2" t="str">
        <f>IFERROR(IF(VLOOKUP(Tbl_Donnees[[#This Row],[Référence]]&amp;"",Tbl_Catalogue[],8,FALSE)=0,"-",VLOOKUP(Tbl_Donnees[[#This Row],[Référence]]&amp;"",Tbl_Catalogue[],8,FALSE)),"-")</f>
        <v>-</v>
      </c>
      <c r="N139" s="5" t="str">
        <f>IFERROR(IF(VLOOKUP(Tbl_Donnees[[#This Row],[Référence]]&amp;"",Tbl_Catalogue[],9,FALSE)=0,"-",VLOOKUP(Tbl_Donnees[[#This Row],[Référence]]&amp;"",Tbl_Catalogue[],9,FALSE)),"-")</f>
        <v>-</v>
      </c>
      <c r="O139" s="5" t="str">
        <f>IFERROR(IF(VLOOKUP(Tbl_Donnees[[#This Row],[Référence]]&amp;"",Tbl_Catalogue[],11,FALSE)=0,"-",VLOOKUP(Tbl_Donnees[[#This Row],[Référence]]&amp;"",Tbl_Catalogue[],11,FALSE)),"-")</f>
        <v>-</v>
      </c>
      <c r="P139" s="2" t="str">
        <f>IFERROR(IF(VLOOKUP(Tbl_Donnees[[#This Row],[Référence]]&amp;"",Tbl_Catalogue[],12,FALSE)=0,"-",VLOOKUP(Tbl_Donnees[[#This Row],[Référence]]&amp;"",Tbl_Catalogue[],12,FALSE)),"-")</f>
        <v>-</v>
      </c>
      <c r="Q139" s="13" t="str">
        <f>IFERROR(IF(VLOOKUP(Tbl_Donnees[[#This Row],[Référence]]&amp;"",Tbl_Catalogue[],13,FALSE)=0,"-",VLOOKUP(Tbl_Donnees[[#This Row],[Référence]]&amp;"",Tbl_Catalogue[],13,FALSE)),"-")</f>
        <v>-</v>
      </c>
      <c r="R139" s="5"/>
    </row>
    <row r="140" spans="1:18" x14ac:dyDescent="0.2">
      <c r="A140" s="2" t="s">
        <v>356</v>
      </c>
      <c r="B140" s="5" t="s">
        <v>620</v>
      </c>
      <c r="C140" s="5" t="s">
        <v>140</v>
      </c>
      <c r="D140" s="6" t="str">
        <f>IFERROR(IF(VLOOKUP(Tbl_Donnees[[#This Row],[Référence]]&amp;"",Tbl_Catalogue[],3,FALSE)=0,"-",VLOOKUP(Tbl_Donnees[[#This Row],[Référence]]&amp;"",Tbl_Catalogue[],3,FALSE)),"-")</f>
        <v xml:space="preserve">VALVE PNEUMATIQUE </v>
      </c>
      <c r="E140" s="6">
        <v>2</v>
      </c>
      <c r="F140" s="6" t="str">
        <f>IFERROR(IF(VLOOKUP(Tbl_Donnees[[#This Row],[Référence]]&amp;"",Tbl_Catalogue[],2,FALSE)=0,"-",VLOOKUP(Tbl_Donnees[[#This Row],[Référence]]&amp;"",Tbl_Catalogue[],2,FALSE)),"-")</f>
        <v>PARKER</v>
      </c>
      <c r="G140" s="20" t="s">
        <v>303</v>
      </c>
      <c r="H140" s="6" t="str">
        <f>IFERROR(IF(VLOOKUP(Tbl_Donnees[[#This Row],[Référence]]&amp;"",Tbl_Catalogue[],4,FALSE)=0,"-",VLOOKUP(Tbl_Donnees[[#This Row],[Référence]]&amp;"",Tbl_Catalogue[],4,FALSE)),"-")</f>
        <v>Obsolète</v>
      </c>
      <c r="I140" s="2" t="str">
        <f>IFERROR(IF(VLOOKUP(Tbl_Donnees[[#This Row],[Référence]]&amp;"",Tbl_Catalogue[],5,FALSE)=0,"-",VLOOKUP(Tbl_Donnees[[#This Row],[Référence]]&amp;"",Tbl_Catalogue[],5,FALSE)),"INCONNU")</f>
        <v>INCONNU</v>
      </c>
      <c r="J140" s="3" t="str">
        <f>IFERROR(IF(VLOOKUP(Tbl_Donnees[[#This Row],[Référence]]&amp;"",Tbl_Catalogue[],6,FALSE)=0,"-",VLOOKUP(Tbl_Donnees[[#This Row],[Référence]]&amp;"",Tbl_Catalogue[],6,FALSE)),"-")</f>
        <v>-</v>
      </c>
      <c r="K140" s="2" t="str">
        <f>IFERROR(IF(VLOOKUP(Tbl_Donnees[[#This Row],[Référence]]&amp;"",Tbl_Catalogue[],7,FALSE)=0,"-",VLOOKUP(Tbl_Donnees[[#This Row],[Référence]]&amp;"",Tbl_Catalogue[],7,FALSE)),"-")</f>
        <v>INCONNU</v>
      </c>
      <c r="L140" s="5" t="str">
        <f>IFERROR(IF(VLOOKUP(Tbl_Donnees[[#This Row],[Référence]]&amp;"",Tbl_Catalogue[],10,FALSE)=0,"-",VLOOKUP(Tbl_Donnees[[#This Row],[Référence]]&amp;"",Tbl_Catalogue[],10,FALSE)),"-")</f>
        <v>-</v>
      </c>
      <c r="M140" s="2" t="str">
        <f>IFERROR(IF(VLOOKUP(Tbl_Donnees[[#This Row],[Référence]]&amp;"",Tbl_Catalogue[],8,FALSE)=0,"-",VLOOKUP(Tbl_Donnees[[#This Row],[Référence]]&amp;"",Tbl_Catalogue[],8,FALSE)),"-")</f>
        <v>-</v>
      </c>
      <c r="N140" s="5" t="str">
        <f>IFERROR(IF(VLOOKUP(Tbl_Donnees[[#This Row],[Référence]]&amp;"",Tbl_Catalogue[],9,FALSE)=0,"-",VLOOKUP(Tbl_Donnees[[#This Row],[Référence]]&amp;"",Tbl_Catalogue[],9,FALSE)),"-")</f>
        <v>-</v>
      </c>
      <c r="O140" s="5" t="str">
        <f>IFERROR(IF(VLOOKUP(Tbl_Donnees[[#This Row],[Référence]]&amp;"",Tbl_Catalogue[],11,FALSE)=0,"-",VLOOKUP(Tbl_Donnees[[#This Row],[Référence]]&amp;"",Tbl_Catalogue[],11,FALSE)),"-")</f>
        <v>-</v>
      </c>
      <c r="P140" s="2" t="str">
        <f>IFERROR(IF(VLOOKUP(Tbl_Donnees[[#This Row],[Référence]]&amp;"",Tbl_Catalogue[],12,FALSE)=0,"-",VLOOKUP(Tbl_Donnees[[#This Row],[Référence]]&amp;"",Tbl_Catalogue[],12,FALSE)),"-")</f>
        <v>-</v>
      </c>
      <c r="Q140" s="13" t="str">
        <f>IFERROR(IF(VLOOKUP(Tbl_Donnees[[#This Row],[Référence]]&amp;"",Tbl_Catalogue[],13,FALSE)=0,"-",VLOOKUP(Tbl_Donnees[[#This Row],[Référence]]&amp;"",Tbl_Catalogue[],13,FALSE)),"-")</f>
        <v>-</v>
      </c>
      <c r="R140" s="2"/>
    </row>
    <row r="141" spans="1:18" x14ac:dyDescent="0.2">
      <c r="A141" s="2" t="s">
        <v>356</v>
      </c>
      <c r="B141" s="5" t="s">
        <v>620</v>
      </c>
      <c r="C141" s="5" t="s">
        <v>140</v>
      </c>
      <c r="D141" s="6" t="str">
        <f>IFERROR(IF(VLOOKUP(Tbl_Donnees[[#This Row],[Référence]]&amp;"",Tbl_Catalogue[],3,FALSE)=0,"-",VLOOKUP(Tbl_Donnees[[#This Row],[Référence]]&amp;"",Tbl_Catalogue[],3,FALSE)),"-")</f>
        <v>FILTRE DE LIGNE LF60</v>
      </c>
      <c r="E141" s="6">
        <v>1</v>
      </c>
      <c r="F141" s="6" t="str">
        <f>IFERROR(IF(VLOOKUP(Tbl_Donnees[[#This Row],[Référence]]&amp;"",Tbl_Catalogue[],2,FALSE)=0,"-",VLOOKUP(Tbl_Donnees[[#This Row],[Référence]]&amp;"",Tbl_Catalogue[],2,FALSE)),"-")</f>
        <v>HYDAC</v>
      </c>
      <c r="G141" s="20" t="s">
        <v>180</v>
      </c>
      <c r="H141" s="6" t="str">
        <f>IFERROR(IF(VLOOKUP(Tbl_Donnees[[#This Row],[Référence]]&amp;"",Tbl_Catalogue[],4,FALSE)=0,"-",VLOOKUP(Tbl_Donnees[[#This Row],[Référence]]&amp;"",Tbl_Catalogue[],4,FALSE)),"-")</f>
        <v>Obsolète</v>
      </c>
      <c r="I141" s="2" t="str">
        <f>IFERROR(IF(VLOOKUP(Tbl_Donnees[[#This Row],[Référence]]&amp;"",Tbl_Catalogue[],5,FALSE)=0,"-",VLOOKUP(Tbl_Donnees[[#This Row],[Référence]]&amp;"",Tbl_Catalogue[],5,FALSE)),"INCONNU")</f>
        <v>INCONNU</v>
      </c>
      <c r="J141" s="3" t="str">
        <f>IFERROR(IF(VLOOKUP(Tbl_Donnees[[#This Row],[Référence]]&amp;"",Tbl_Catalogue[],6,FALSE)=0,"-",VLOOKUP(Tbl_Donnees[[#This Row],[Référence]]&amp;"",Tbl_Catalogue[],6,FALSE)),"-")</f>
        <v>-</v>
      </c>
      <c r="K141" s="2" t="str">
        <f>IFERROR(IF(VLOOKUP(Tbl_Donnees[[#This Row],[Référence]]&amp;"",Tbl_Catalogue[],7,FALSE)=0,"-",VLOOKUP(Tbl_Donnees[[#This Row],[Référence]]&amp;"",Tbl_Catalogue[],7,FALSE)),"-")</f>
        <v>INCONNU</v>
      </c>
      <c r="L141" s="5" t="str">
        <f>IFERROR(IF(VLOOKUP(Tbl_Donnees[[#This Row],[Référence]]&amp;"",Tbl_Catalogue[],10,FALSE)=0,"-",VLOOKUP(Tbl_Donnees[[#This Row],[Référence]]&amp;"",Tbl_Catalogue[],10,FALSE)),"-")</f>
        <v>-</v>
      </c>
      <c r="M141" s="2" t="str">
        <f>IFERROR(IF(VLOOKUP(Tbl_Donnees[[#This Row],[Référence]]&amp;"",Tbl_Catalogue[],8,FALSE)=0,"-",VLOOKUP(Tbl_Donnees[[#This Row],[Référence]]&amp;"",Tbl_Catalogue[],8,FALSE)),"-")</f>
        <v>-</v>
      </c>
      <c r="N141" s="5" t="str">
        <f>IFERROR(IF(VLOOKUP(Tbl_Donnees[[#This Row],[Référence]]&amp;"",Tbl_Catalogue[],9,FALSE)=0,"-",VLOOKUP(Tbl_Donnees[[#This Row],[Référence]]&amp;"",Tbl_Catalogue[],9,FALSE)),"-")</f>
        <v>-</v>
      </c>
      <c r="O141" s="5" t="str">
        <f>IFERROR(IF(VLOOKUP(Tbl_Donnees[[#This Row],[Référence]]&amp;"",Tbl_Catalogue[],11,FALSE)=0,"-",VLOOKUP(Tbl_Donnees[[#This Row],[Référence]]&amp;"",Tbl_Catalogue[],11,FALSE)),"-")</f>
        <v>-</v>
      </c>
      <c r="P141" s="2" t="str">
        <f>IFERROR(IF(VLOOKUP(Tbl_Donnees[[#This Row],[Référence]]&amp;"",Tbl_Catalogue[],12,FALSE)=0,"-",VLOOKUP(Tbl_Donnees[[#This Row],[Référence]]&amp;"",Tbl_Catalogue[],12,FALSE)),"-")</f>
        <v>-</v>
      </c>
      <c r="Q141" s="13" t="str">
        <f>IFERROR(IF(VLOOKUP(Tbl_Donnees[[#This Row],[Référence]]&amp;"",Tbl_Catalogue[],13,FALSE)=0,"-",VLOOKUP(Tbl_Donnees[[#This Row],[Référence]]&amp;"",Tbl_Catalogue[],13,FALSE)),"-")</f>
        <v>-</v>
      </c>
      <c r="R141" s="5"/>
    </row>
    <row r="142" spans="1:18" x14ac:dyDescent="0.2">
      <c r="A142" s="2" t="s">
        <v>356</v>
      </c>
      <c r="B142" s="5" t="s">
        <v>620</v>
      </c>
      <c r="C142" s="5" t="s">
        <v>140</v>
      </c>
      <c r="D142" s="6" t="str">
        <f>IFERROR(IF(VLOOKUP(Tbl_Donnees[[#This Row],[Référence]]&amp;"",Tbl_Catalogue[],3,FALSE)=0,"-",VLOOKUP(Tbl_Donnees[[#This Row],[Référence]]&amp;"",Tbl_Catalogue[],3,FALSE)),"-")</f>
        <v>ACCUMULATEUR HYDRAULIQUE</v>
      </c>
      <c r="E142" s="6">
        <v>1</v>
      </c>
      <c r="F142" s="6" t="str">
        <f>IFERROR(IF(VLOOKUP(Tbl_Donnees[[#This Row],[Référence]]&amp;"",Tbl_Catalogue[],2,FALSE)=0,"-",VLOOKUP(Tbl_Donnees[[#This Row],[Référence]]&amp;"",Tbl_Catalogue[],2,FALSE)),"-")</f>
        <v>HYDAC</v>
      </c>
      <c r="G142" s="20" t="s">
        <v>39</v>
      </c>
      <c r="H142" s="6" t="str">
        <f>IFERROR(IF(VLOOKUP(Tbl_Donnees[[#This Row],[Référence]]&amp;"",Tbl_Catalogue[],4,FALSE)=0,"-",VLOOKUP(Tbl_Donnees[[#This Row],[Référence]]&amp;"",Tbl_Catalogue[],4,FALSE)),"-")</f>
        <v>Produit actif</v>
      </c>
      <c r="I142" s="2" t="str">
        <f>IFERROR(IF(VLOOKUP(Tbl_Donnees[[#This Row],[Référence]]&amp;"",Tbl_Catalogue[],5,FALSE)=0,"-",VLOOKUP(Tbl_Donnees[[#This Row],[Référence]]&amp;"",Tbl_Catalogue[],5,FALSE)),"INCONNU")</f>
        <v>ACTIF</v>
      </c>
      <c r="J142" s="3" t="str">
        <f>IFERROR(IF(VLOOKUP(Tbl_Donnees[[#This Row],[Référence]]&amp;"",Tbl_Catalogue[],6,FALSE)=0,"-",VLOOKUP(Tbl_Donnees[[#This Row],[Référence]]&amp;"",Tbl_Catalogue[],6,FALSE)),"-")</f>
        <v>https://www.hydac.com/shop/en/2121236</v>
      </c>
      <c r="K142" s="2" t="str">
        <f>IFERROR(IF(VLOOKUP(Tbl_Donnees[[#This Row],[Référence]]&amp;"",Tbl_Catalogue[],7,FALSE)=0,"-",VLOOKUP(Tbl_Donnees[[#This Row],[Référence]]&amp;"",Tbl_Catalogue[],7,FALSE)),"-")</f>
        <v>-</v>
      </c>
      <c r="L142" s="5" t="str">
        <f>IFERROR(IF(VLOOKUP(Tbl_Donnees[[#This Row],[Référence]]&amp;"",Tbl_Catalogue[],10,FALSE)=0,"-",VLOOKUP(Tbl_Donnees[[#This Row],[Référence]]&amp;"",Tbl_Catalogue[],10,FALSE)),"-")</f>
        <v>-</v>
      </c>
      <c r="M142" s="2" t="str">
        <f>IFERROR(IF(VLOOKUP(Tbl_Donnees[[#This Row],[Référence]]&amp;"",Tbl_Catalogue[],8,FALSE)=0,"-",VLOOKUP(Tbl_Donnees[[#This Row],[Référence]]&amp;"",Tbl_Catalogue[],8,FALSE)),"-")</f>
        <v>-</v>
      </c>
      <c r="N142" s="5" t="str">
        <f>IFERROR(IF(VLOOKUP(Tbl_Donnees[[#This Row],[Référence]]&amp;"",Tbl_Catalogue[],9,FALSE)=0,"-",VLOOKUP(Tbl_Donnees[[#This Row],[Référence]]&amp;"",Tbl_Catalogue[],9,FALSE)),"-")</f>
        <v>-</v>
      </c>
      <c r="O142" s="5" t="str">
        <f>IFERROR(IF(VLOOKUP(Tbl_Donnees[[#This Row],[Référence]]&amp;"",Tbl_Catalogue[],11,FALSE)=0,"-",VLOOKUP(Tbl_Donnees[[#This Row],[Référence]]&amp;"",Tbl_Catalogue[],11,FALSE)),"-")</f>
        <v>-</v>
      </c>
      <c r="P142" s="2" t="str">
        <f>IFERROR(IF(VLOOKUP(Tbl_Donnees[[#This Row],[Référence]]&amp;"",Tbl_Catalogue[],12,FALSE)=0,"-",VLOOKUP(Tbl_Donnees[[#This Row],[Référence]]&amp;"",Tbl_Catalogue[],12,FALSE)),"-")</f>
        <v>-</v>
      </c>
      <c r="Q142" s="13" t="str">
        <f>IFERROR(IF(VLOOKUP(Tbl_Donnees[[#This Row],[Référence]]&amp;"",Tbl_Catalogue[],13,FALSE)=0,"-",VLOOKUP(Tbl_Donnees[[#This Row],[Référence]]&amp;"",Tbl_Catalogue[],13,FALSE)),"-")</f>
        <v>-</v>
      </c>
      <c r="R142" s="2"/>
    </row>
    <row r="143" spans="1:18" x14ac:dyDescent="0.2">
      <c r="A143" s="2" t="s">
        <v>356</v>
      </c>
      <c r="B143" s="5" t="s">
        <v>620</v>
      </c>
      <c r="C143" s="5" t="s">
        <v>140</v>
      </c>
      <c r="D143" s="6" t="str">
        <f>IFERROR(IF(VLOOKUP(Tbl_Donnees[[#This Row],[Référence]]&amp;"",Tbl_Catalogue[],3,FALSE)=0,"-",VLOOKUP(Tbl_Donnees[[#This Row],[Référence]]&amp;"",Tbl_Catalogue[],3,FALSE)),"-")</f>
        <v>ACCUMULATEUR HYDRAULIQUE</v>
      </c>
      <c r="E143" s="6">
        <v>1</v>
      </c>
      <c r="F143" s="6" t="str">
        <f>IFERROR(IF(VLOOKUP(Tbl_Donnees[[#This Row],[Référence]]&amp;"",Tbl_Catalogue[],2,FALSE)=0,"-",VLOOKUP(Tbl_Donnees[[#This Row],[Référence]]&amp;"",Tbl_Catalogue[],2,FALSE)),"-")</f>
        <v>HYDAC</v>
      </c>
      <c r="G143" s="20" t="s">
        <v>126</v>
      </c>
      <c r="H143" s="6" t="str">
        <f>IFERROR(IF(VLOOKUP(Tbl_Donnees[[#This Row],[Référence]]&amp;"",Tbl_Catalogue[],4,FALSE)=0,"-",VLOOKUP(Tbl_Donnees[[#This Row],[Référence]]&amp;"",Tbl_Catalogue[],4,FALSE)),"-")</f>
        <v>Produit actif</v>
      </c>
      <c r="I143" s="2" t="str">
        <f>IFERROR(IF(VLOOKUP(Tbl_Donnees[[#This Row],[Référence]]&amp;"",Tbl_Catalogue[],5,FALSE)=0,"-",VLOOKUP(Tbl_Donnees[[#This Row],[Référence]]&amp;"",Tbl_Catalogue[],5,FALSE)),"INCONNU")</f>
        <v>ACTIF</v>
      </c>
      <c r="J143" s="3" t="str">
        <f>IFERROR(IF(VLOOKUP(Tbl_Donnees[[#This Row],[Référence]]&amp;"",Tbl_Catalogue[],6,FALSE)=0,"-",VLOOKUP(Tbl_Donnees[[#This Row],[Référence]]&amp;"",Tbl_Catalogue[],6,FALSE)),"-")</f>
        <v>https://www.hydac.com/shop/fr-fr/3047166</v>
      </c>
      <c r="K143" s="2" t="str">
        <f>IFERROR(IF(VLOOKUP(Tbl_Donnees[[#This Row],[Référence]]&amp;"",Tbl_Catalogue[],7,FALSE)=0,"-",VLOOKUP(Tbl_Donnees[[#This Row],[Référence]]&amp;"",Tbl_Catalogue[],7,FALSE)),"-")</f>
        <v>-</v>
      </c>
      <c r="L143" s="5" t="str">
        <f>IFERROR(IF(VLOOKUP(Tbl_Donnees[[#This Row],[Référence]]&amp;"",Tbl_Catalogue[],10,FALSE)=0,"-",VLOOKUP(Tbl_Donnees[[#This Row],[Référence]]&amp;"",Tbl_Catalogue[],10,FALSE)),"-")</f>
        <v>-</v>
      </c>
      <c r="M143" s="2" t="str">
        <f>IFERROR(IF(VLOOKUP(Tbl_Donnees[[#This Row],[Référence]]&amp;"",Tbl_Catalogue[],8,FALSE)=0,"-",VLOOKUP(Tbl_Donnees[[#This Row],[Référence]]&amp;"",Tbl_Catalogue[],8,FALSE)),"-")</f>
        <v>-</v>
      </c>
      <c r="N143" s="5" t="str">
        <f>IFERROR(IF(VLOOKUP(Tbl_Donnees[[#This Row],[Référence]]&amp;"",Tbl_Catalogue[],9,FALSE)=0,"-",VLOOKUP(Tbl_Donnees[[#This Row],[Référence]]&amp;"",Tbl_Catalogue[],9,FALSE)),"-")</f>
        <v>-</v>
      </c>
      <c r="O143" s="5" t="str">
        <f>IFERROR(IF(VLOOKUP(Tbl_Donnees[[#This Row],[Référence]]&amp;"",Tbl_Catalogue[],11,FALSE)=0,"-",VLOOKUP(Tbl_Donnees[[#This Row],[Référence]]&amp;"",Tbl_Catalogue[],11,FALSE)),"-")</f>
        <v>-</v>
      </c>
      <c r="P143" s="2" t="str">
        <f>IFERROR(IF(VLOOKUP(Tbl_Donnees[[#This Row],[Référence]]&amp;"",Tbl_Catalogue[],12,FALSE)=0,"-",VLOOKUP(Tbl_Donnees[[#This Row],[Référence]]&amp;"",Tbl_Catalogue[],12,FALSE)),"-")</f>
        <v>-</v>
      </c>
      <c r="Q143" s="13" t="str">
        <f>IFERROR(IF(VLOOKUP(Tbl_Donnees[[#This Row],[Référence]]&amp;"",Tbl_Catalogue[],13,FALSE)=0,"-",VLOOKUP(Tbl_Donnees[[#This Row],[Référence]]&amp;"",Tbl_Catalogue[],13,FALSE)),"-")</f>
        <v>-</v>
      </c>
      <c r="R143" s="5"/>
    </row>
    <row r="144" spans="1:18" x14ac:dyDescent="0.2">
      <c r="A144" s="2" t="s">
        <v>356</v>
      </c>
      <c r="B144" s="5" t="s">
        <v>620</v>
      </c>
      <c r="C144" s="5" t="s">
        <v>140</v>
      </c>
      <c r="D144" s="6" t="str">
        <f>IFERROR(IF(VLOOKUP(Tbl_Donnees[[#This Row],[Référence]]&amp;"",Tbl_Catalogue[],3,FALSE)=0,"-",VLOOKUP(Tbl_Donnees[[#This Row],[Référence]]&amp;"",Tbl_Catalogue[],3,FALSE)),"-")</f>
        <v>BOBINE ORIGA</v>
      </c>
      <c r="E144" s="6">
        <v>1</v>
      </c>
      <c r="F144" s="6" t="str">
        <f>IFERROR(IF(VLOOKUP(Tbl_Donnees[[#This Row],[Référence]]&amp;"",Tbl_Catalogue[],2,FALSE)=0,"-",VLOOKUP(Tbl_Donnees[[#This Row],[Référence]]&amp;"",Tbl_Catalogue[],2,FALSE)),"-")</f>
        <v>HOERBIGER</v>
      </c>
      <c r="G144" s="20" t="s">
        <v>297</v>
      </c>
      <c r="H144" s="6" t="str">
        <f>IFERROR(IF(VLOOKUP(Tbl_Donnees[[#This Row],[Référence]]&amp;"",Tbl_Catalogue[],4,FALSE)=0,"-",VLOOKUP(Tbl_Donnees[[#This Row],[Référence]]&amp;"",Tbl_Catalogue[],4,FALSE)),"-")</f>
        <v>Obsolète</v>
      </c>
      <c r="I144" s="2" t="str">
        <f>IFERROR(IF(VLOOKUP(Tbl_Donnees[[#This Row],[Référence]]&amp;"",Tbl_Catalogue[],5,FALSE)=0,"-",VLOOKUP(Tbl_Donnees[[#This Row],[Référence]]&amp;"",Tbl_Catalogue[],5,FALSE)),"INCONNU")</f>
        <v>INCONNU</v>
      </c>
      <c r="J144" s="3" t="str">
        <f>IFERROR(IF(VLOOKUP(Tbl_Donnees[[#This Row],[Référence]]&amp;"",Tbl_Catalogue[],6,FALSE)=0,"-",VLOOKUP(Tbl_Donnees[[#This Row],[Référence]]&amp;"",Tbl_Catalogue[],6,FALSE)),"-")</f>
        <v>-</v>
      </c>
      <c r="K144" s="2" t="str">
        <f>IFERROR(IF(VLOOKUP(Tbl_Donnees[[#This Row],[Référence]]&amp;"",Tbl_Catalogue[],7,FALSE)=0,"-",VLOOKUP(Tbl_Donnees[[#This Row],[Référence]]&amp;"",Tbl_Catalogue[],7,FALSE)),"-")</f>
        <v>INCONNU</v>
      </c>
      <c r="L144" s="5" t="str">
        <f>IFERROR(IF(VLOOKUP(Tbl_Donnees[[#This Row],[Référence]]&amp;"",Tbl_Catalogue[],10,FALSE)=0,"-",VLOOKUP(Tbl_Donnees[[#This Row],[Référence]]&amp;"",Tbl_Catalogue[],10,FALSE)),"-")</f>
        <v>-</v>
      </c>
      <c r="M144" s="2" t="str">
        <f>IFERROR(IF(VLOOKUP(Tbl_Donnees[[#This Row],[Référence]]&amp;"",Tbl_Catalogue[],8,FALSE)=0,"-",VLOOKUP(Tbl_Donnees[[#This Row],[Référence]]&amp;"",Tbl_Catalogue[],8,FALSE)),"-")</f>
        <v>-</v>
      </c>
      <c r="N144" s="5" t="str">
        <f>IFERROR(IF(VLOOKUP(Tbl_Donnees[[#This Row],[Référence]]&amp;"",Tbl_Catalogue[],9,FALSE)=0,"-",VLOOKUP(Tbl_Donnees[[#This Row],[Référence]]&amp;"",Tbl_Catalogue[],9,FALSE)),"-")</f>
        <v>-</v>
      </c>
      <c r="O144" s="5" t="str">
        <f>IFERROR(IF(VLOOKUP(Tbl_Donnees[[#This Row],[Référence]]&amp;"",Tbl_Catalogue[],11,FALSE)=0,"-",VLOOKUP(Tbl_Donnees[[#This Row],[Référence]]&amp;"",Tbl_Catalogue[],11,FALSE)),"-")</f>
        <v>-</v>
      </c>
      <c r="P144" s="2" t="str">
        <f>IFERROR(IF(VLOOKUP(Tbl_Donnees[[#This Row],[Référence]]&amp;"",Tbl_Catalogue[],12,FALSE)=0,"-",VLOOKUP(Tbl_Donnees[[#This Row],[Référence]]&amp;"",Tbl_Catalogue[],12,FALSE)),"-")</f>
        <v>-</v>
      </c>
      <c r="Q144" s="13" t="str">
        <f>IFERROR(IF(VLOOKUP(Tbl_Donnees[[#This Row],[Référence]]&amp;"",Tbl_Catalogue[],13,FALSE)=0,"-",VLOOKUP(Tbl_Donnees[[#This Row],[Référence]]&amp;"",Tbl_Catalogue[],13,FALSE)),"-")</f>
        <v>-</v>
      </c>
      <c r="R144" s="2"/>
    </row>
    <row r="145" spans="1:18" x14ac:dyDescent="0.2">
      <c r="A145" s="2" t="s">
        <v>356</v>
      </c>
      <c r="B145" s="5" t="s">
        <v>620</v>
      </c>
      <c r="C145" s="5" t="s">
        <v>140</v>
      </c>
      <c r="D145" s="6" t="str">
        <f>IFERROR(IF(VLOOKUP(Tbl_Donnees[[#This Row],[Référence]]&amp;"",Tbl_Catalogue[],3,FALSE)=0,"-",VLOOKUP(Tbl_Donnees[[#This Row],[Référence]]&amp;"",Tbl_Catalogue[],3,FALSE)),"-")</f>
        <v>DISTRIB. ELECT. MD1B</v>
      </c>
      <c r="E145" s="6">
        <v>1</v>
      </c>
      <c r="F145" s="6" t="str">
        <f>IFERROR(IF(VLOOKUP(Tbl_Donnees[[#This Row],[Référence]]&amp;"",Tbl_Catalogue[],2,FALSE)=0,"-",VLOOKUP(Tbl_Donnees[[#This Row],[Référence]]&amp;"",Tbl_Catalogue[],2,FALSE)),"-")</f>
        <v>DUPLOMATIC</v>
      </c>
      <c r="G145" s="20" t="s">
        <v>266</v>
      </c>
      <c r="H145" s="6" t="str">
        <f>IFERROR(IF(VLOOKUP(Tbl_Donnees[[#This Row],[Référence]]&amp;"",Tbl_Catalogue[],4,FALSE)=0,"-",VLOOKUP(Tbl_Donnees[[#This Row],[Référence]]&amp;"",Tbl_Catalogue[],4,FALSE)),"-")</f>
        <v>Obsolète</v>
      </c>
      <c r="I145" s="2" t="str">
        <f>IFERROR(IF(VLOOKUP(Tbl_Donnees[[#This Row],[Référence]]&amp;"",Tbl_Catalogue[],5,FALSE)=0,"-",VLOOKUP(Tbl_Donnees[[#This Row],[Référence]]&amp;"",Tbl_Catalogue[],5,FALSE)),"INCONNU")</f>
        <v>INCONNU</v>
      </c>
      <c r="J145" s="3" t="str">
        <f>IFERROR(IF(VLOOKUP(Tbl_Donnees[[#This Row],[Référence]]&amp;"",Tbl_Catalogue[],6,FALSE)=0,"-",VLOOKUP(Tbl_Donnees[[#This Row],[Référence]]&amp;"",Tbl_Catalogue[],6,FALSE)),"-")</f>
        <v>-</v>
      </c>
      <c r="K145" s="2" t="str">
        <f>IFERROR(IF(VLOOKUP(Tbl_Donnees[[#This Row],[Référence]]&amp;"",Tbl_Catalogue[],7,FALSE)=0,"-",VLOOKUP(Tbl_Donnees[[#This Row],[Référence]]&amp;"",Tbl_Catalogue[],7,FALSE)),"-")</f>
        <v>INCONNU</v>
      </c>
      <c r="L145" s="5" t="str">
        <f>IFERROR(IF(VLOOKUP(Tbl_Donnees[[#This Row],[Référence]]&amp;"",Tbl_Catalogue[],10,FALSE)=0,"-",VLOOKUP(Tbl_Donnees[[#This Row],[Référence]]&amp;"",Tbl_Catalogue[],10,FALSE)),"-")</f>
        <v>-</v>
      </c>
      <c r="M145" s="2" t="str">
        <f>IFERROR(IF(VLOOKUP(Tbl_Donnees[[#This Row],[Référence]]&amp;"",Tbl_Catalogue[],8,FALSE)=0,"-",VLOOKUP(Tbl_Donnees[[#This Row],[Référence]]&amp;"",Tbl_Catalogue[],8,FALSE)),"-")</f>
        <v>-</v>
      </c>
      <c r="N145" s="5" t="str">
        <f>IFERROR(IF(VLOOKUP(Tbl_Donnees[[#This Row],[Référence]]&amp;"",Tbl_Catalogue[],9,FALSE)=0,"-",VLOOKUP(Tbl_Donnees[[#This Row],[Référence]]&amp;"",Tbl_Catalogue[],9,FALSE)),"-")</f>
        <v>-</v>
      </c>
      <c r="O145" s="5" t="str">
        <f>IFERROR(IF(VLOOKUP(Tbl_Donnees[[#This Row],[Référence]]&amp;"",Tbl_Catalogue[],11,FALSE)=0,"-",VLOOKUP(Tbl_Donnees[[#This Row],[Référence]]&amp;"",Tbl_Catalogue[],11,FALSE)),"-")</f>
        <v>-</v>
      </c>
      <c r="P145" s="2" t="str">
        <f>IFERROR(IF(VLOOKUP(Tbl_Donnees[[#This Row],[Référence]]&amp;"",Tbl_Catalogue[],12,FALSE)=0,"-",VLOOKUP(Tbl_Donnees[[#This Row],[Référence]]&amp;"",Tbl_Catalogue[],12,FALSE)),"-")</f>
        <v>-</v>
      </c>
      <c r="Q145" s="13" t="str">
        <f>IFERROR(IF(VLOOKUP(Tbl_Donnees[[#This Row],[Référence]]&amp;"",Tbl_Catalogue[],13,FALSE)=0,"-",VLOOKUP(Tbl_Donnees[[#This Row],[Référence]]&amp;"",Tbl_Catalogue[],13,FALSE)),"-")</f>
        <v>-</v>
      </c>
      <c r="R145" s="5"/>
    </row>
    <row r="146" spans="1:18" x14ac:dyDescent="0.2">
      <c r="A146" s="2" t="s">
        <v>356</v>
      </c>
      <c r="B146" s="5" t="s">
        <v>620</v>
      </c>
      <c r="C146" s="5" t="s">
        <v>140</v>
      </c>
      <c r="D146" s="6" t="str">
        <f>IFERROR(IF(VLOOKUP(Tbl_Donnees[[#This Row],[Référence]]&amp;"",Tbl_Catalogue[],3,FALSE)=0,"-",VLOOKUP(Tbl_Donnees[[#This Row],[Référence]]&amp;"",Tbl_Catalogue[],3,FALSE)),"-")</f>
        <v>DISTRIB. 4WE6D52/AG24</v>
      </c>
      <c r="E146" s="6">
        <v>1</v>
      </c>
      <c r="F146" s="6" t="str">
        <f>IFERROR(IF(VLOOKUP(Tbl_Donnees[[#This Row],[Référence]]&amp;"",Tbl_Catalogue[],2,FALSE)=0,"-",VLOOKUP(Tbl_Donnees[[#This Row],[Référence]]&amp;"",Tbl_Catalogue[],2,FALSE)),"-")</f>
        <v>BOSCH REXROTH</v>
      </c>
      <c r="G146" s="20" t="s">
        <v>120</v>
      </c>
      <c r="H146" s="6" t="str">
        <f>IFERROR(IF(VLOOKUP(Tbl_Donnees[[#This Row],[Référence]]&amp;"",Tbl_Catalogue[],4,FALSE)=0,"-",VLOOKUP(Tbl_Donnees[[#This Row],[Référence]]&amp;"",Tbl_Catalogue[],4,FALSE)),"-")</f>
        <v>Plus de production</v>
      </c>
      <c r="I146" s="2" t="str">
        <f>IFERROR(IF(VLOOKUP(Tbl_Donnees[[#This Row],[Référence]]&amp;"",Tbl_Catalogue[],5,FALSE)=0,"-",VLOOKUP(Tbl_Donnees[[#This Row],[Référence]]&amp;"",Tbl_Catalogue[],5,FALSE)),"INCONNU")</f>
        <v>OBSOLETE</v>
      </c>
      <c r="J146" s="3" t="str">
        <f>IFERROR(IF(VLOOKUP(Tbl_Donnees[[#This Row],[Référence]]&amp;"",Tbl_Catalogue[],6,FALSE)=0,"-",VLOOKUP(Tbl_Donnees[[#This Row],[Référence]]&amp;"",Tbl_Catalogue[],6,FALSE)),"-")</f>
        <v>https://store.boschrexroth.com/fr/fr/p/r900443143</v>
      </c>
      <c r="K146" s="2" t="str">
        <f>IFERROR(IF(VLOOKUP(Tbl_Donnees[[#This Row],[Référence]]&amp;"",Tbl_Catalogue[],7,FALSE)=0,"-",VLOOKUP(Tbl_Donnees[[#This Row],[Référence]]&amp;"",Tbl_Catalogue[],7,FALSE)),"-")</f>
        <v>INCONNU</v>
      </c>
      <c r="L146" s="5" t="str">
        <f>IFERROR(IF(VLOOKUP(Tbl_Donnees[[#This Row],[Référence]]&amp;"",Tbl_Catalogue[],10,FALSE)=0,"-",VLOOKUP(Tbl_Donnees[[#This Row],[Référence]]&amp;"",Tbl_Catalogue[],10,FALSE)),"-")</f>
        <v>-</v>
      </c>
      <c r="M146" s="2" t="str">
        <f>IFERROR(IF(VLOOKUP(Tbl_Donnees[[#This Row],[Référence]]&amp;"",Tbl_Catalogue[],8,FALSE)=0,"-",VLOOKUP(Tbl_Donnees[[#This Row],[Référence]]&amp;"",Tbl_Catalogue[],8,FALSE)),"-")</f>
        <v>-</v>
      </c>
      <c r="N146" s="5" t="str">
        <f>IFERROR(IF(VLOOKUP(Tbl_Donnees[[#This Row],[Référence]]&amp;"",Tbl_Catalogue[],9,FALSE)=0,"-",VLOOKUP(Tbl_Donnees[[#This Row],[Référence]]&amp;"",Tbl_Catalogue[],9,FALSE)),"-")</f>
        <v>-</v>
      </c>
      <c r="O146" s="5" t="str">
        <f>IFERROR(IF(VLOOKUP(Tbl_Donnees[[#This Row],[Référence]]&amp;"",Tbl_Catalogue[],11,FALSE)=0,"-",VLOOKUP(Tbl_Donnees[[#This Row],[Référence]]&amp;"",Tbl_Catalogue[],11,FALSE)),"-")</f>
        <v>-</v>
      </c>
      <c r="P146" s="2" t="str">
        <f>IFERROR(IF(VLOOKUP(Tbl_Donnees[[#This Row],[Référence]]&amp;"",Tbl_Catalogue[],12,FALSE)=0,"-",VLOOKUP(Tbl_Donnees[[#This Row],[Référence]]&amp;"",Tbl_Catalogue[],12,FALSE)),"-")</f>
        <v>-</v>
      </c>
      <c r="Q146" s="13" t="str">
        <f>IFERROR(IF(VLOOKUP(Tbl_Donnees[[#This Row],[Référence]]&amp;"",Tbl_Catalogue[],13,FALSE)=0,"-",VLOOKUP(Tbl_Donnees[[#This Row],[Référence]]&amp;"",Tbl_Catalogue[],13,FALSE)),"-")</f>
        <v>-</v>
      </c>
      <c r="R146" s="2"/>
    </row>
    <row r="147" spans="1:18" x14ac:dyDescent="0.2">
      <c r="A147" s="2" t="s">
        <v>356</v>
      </c>
      <c r="B147" s="5" t="s">
        <v>620</v>
      </c>
      <c r="C147" s="5" t="s">
        <v>140</v>
      </c>
      <c r="D147" s="6" t="str">
        <f>IFERROR(IF(VLOOKUP(Tbl_Donnees[[#This Row],[Référence]]&amp;"",Tbl_Catalogue[],3,FALSE)=0,"-",VLOOKUP(Tbl_Donnees[[#This Row],[Référence]]&amp;"",Tbl_Catalogue[],3,FALSE)),"-")</f>
        <v>DISTRIB. ELECT.</v>
      </c>
      <c r="E147" s="6">
        <v>5</v>
      </c>
      <c r="F147" s="6" t="str">
        <f>IFERROR(IF(VLOOKUP(Tbl_Donnees[[#This Row],[Référence]]&amp;"",Tbl_Catalogue[],2,FALSE)=0,"-",VLOOKUP(Tbl_Donnees[[#This Row],[Référence]]&amp;"",Tbl_Catalogue[],2,FALSE)),"-")</f>
        <v>BOSCH</v>
      </c>
      <c r="G147" s="20" t="s">
        <v>124</v>
      </c>
      <c r="H147" s="6" t="str">
        <f>IFERROR(IF(VLOOKUP(Tbl_Donnees[[#This Row],[Référence]]&amp;"",Tbl_Catalogue[],4,FALSE)=0,"-",VLOOKUP(Tbl_Donnees[[#This Row],[Référence]]&amp;"",Tbl_Catalogue[],4,FALSE)),"-")</f>
        <v>Obsolète</v>
      </c>
      <c r="I147" s="2" t="str">
        <f>IFERROR(IF(VLOOKUP(Tbl_Donnees[[#This Row],[Référence]]&amp;"",Tbl_Catalogue[],5,FALSE)=0,"-",VLOOKUP(Tbl_Donnees[[#This Row],[Référence]]&amp;"",Tbl_Catalogue[],5,FALSE)),"INCONNU")</f>
        <v>INCONNU</v>
      </c>
      <c r="J147" s="3" t="str">
        <f>IFERROR(IF(VLOOKUP(Tbl_Donnees[[#This Row],[Référence]]&amp;"",Tbl_Catalogue[],6,FALSE)=0,"-",VLOOKUP(Tbl_Donnees[[#This Row],[Référence]]&amp;"",Tbl_Catalogue[],6,FALSE)),"-")</f>
        <v>-</v>
      </c>
      <c r="K147" s="2" t="str">
        <f>IFERROR(IF(VLOOKUP(Tbl_Donnees[[#This Row],[Référence]]&amp;"",Tbl_Catalogue[],7,FALSE)=0,"-",VLOOKUP(Tbl_Donnees[[#This Row],[Référence]]&amp;"",Tbl_Catalogue[],7,FALSE)),"-")</f>
        <v>INCONNU</v>
      </c>
      <c r="L147" s="5" t="str">
        <f>IFERROR(IF(VLOOKUP(Tbl_Donnees[[#This Row],[Référence]]&amp;"",Tbl_Catalogue[],10,FALSE)=0,"-",VLOOKUP(Tbl_Donnees[[#This Row],[Référence]]&amp;"",Tbl_Catalogue[],10,FALSE)),"-")</f>
        <v>-</v>
      </c>
      <c r="M147" s="2" t="str">
        <f>IFERROR(IF(VLOOKUP(Tbl_Donnees[[#This Row],[Référence]]&amp;"",Tbl_Catalogue[],8,FALSE)=0,"-",VLOOKUP(Tbl_Donnees[[#This Row],[Référence]]&amp;"",Tbl_Catalogue[],8,FALSE)),"-")</f>
        <v>-</v>
      </c>
      <c r="N147" s="5" t="str">
        <f>IFERROR(IF(VLOOKUP(Tbl_Donnees[[#This Row],[Référence]]&amp;"",Tbl_Catalogue[],9,FALSE)=0,"-",VLOOKUP(Tbl_Donnees[[#This Row],[Référence]]&amp;"",Tbl_Catalogue[],9,FALSE)),"-")</f>
        <v>-</v>
      </c>
      <c r="O147" s="5" t="str">
        <f>IFERROR(IF(VLOOKUP(Tbl_Donnees[[#This Row],[Référence]]&amp;"",Tbl_Catalogue[],11,FALSE)=0,"-",VLOOKUP(Tbl_Donnees[[#This Row],[Référence]]&amp;"",Tbl_Catalogue[],11,FALSE)),"-")</f>
        <v>-</v>
      </c>
      <c r="P147" s="2" t="str">
        <f>IFERROR(IF(VLOOKUP(Tbl_Donnees[[#This Row],[Référence]]&amp;"",Tbl_Catalogue[],12,FALSE)=0,"-",VLOOKUP(Tbl_Donnees[[#This Row],[Référence]]&amp;"",Tbl_Catalogue[],12,FALSE)),"-")</f>
        <v>-</v>
      </c>
      <c r="Q147" s="13" t="str">
        <f>IFERROR(IF(VLOOKUP(Tbl_Donnees[[#This Row],[Référence]]&amp;"",Tbl_Catalogue[],13,FALSE)=0,"-",VLOOKUP(Tbl_Donnees[[#This Row],[Référence]]&amp;"",Tbl_Catalogue[],13,FALSE)),"-")</f>
        <v>-</v>
      </c>
      <c r="R147" s="2"/>
    </row>
    <row r="148" spans="1:18" x14ac:dyDescent="0.2">
      <c r="A148" s="2" t="s">
        <v>356</v>
      </c>
      <c r="B148" s="5" t="s">
        <v>620</v>
      </c>
      <c r="C148" s="5" t="s">
        <v>140</v>
      </c>
      <c r="D148" s="6" t="str">
        <f>IFERROR(IF(VLOOKUP(Tbl_Donnees[[#This Row],[Référence]]&amp;"",Tbl_Catalogue[],3,FALSE)=0,"-",VLOOKUP(Tbl_Donnees[[#This Row],[Référence]]&amp;"",Tbl_Catalogue[],3,FALSE)),"-")</f>
        <v xml:space="preserve">DISTRIB. ELECT. WV N120 </v>
      </c>
      <c r="E148" s="6">
        <v>2</v>
      </c>
      <c r="F148" s="6" t="str">
        <f>IFERROR(IF(VLOOKUP(Tbl_Donnees[[#This Row],[Référence]]&amp;"",Tbl_Catalogue[],2,FALSE)=0,"-",VLOOKUP(Tbl_Donnees[[#This Row],[Référence]]&amp;"",Tbl_Catalogue[],2,FALSE)),"-")</f>
        <v>BOSCH</v>
      </c>
      <c r="G148" s="20" t="s">
        <v>263</v>
      </c>
      <c r="H148" s="6" t="str">
        <f>IFERROR(IF(VLOOKUP(Tbl_Donnees[[#This Row],[Référence]]&amp;"",Tbl_Catalogue[],4,FALSE)=0,"-",VLOOKUP(Tbl_Donnees[[#This Row],[Référence]]&amp;"",Tbl_Catalogue[],4,FALSE)),"-")</f>
        <v>Plus de production</v>
      </c>
      <c r="I148" s="2" t="str">
        <f>IFERROR(IF(VLOOKUP(Tbl_Donnees[[#This Row],[Référence]]&amp;"",Tbl_Catalogue[],5,FALSE)=0,"-",VLOOKUP(Tbl_Donnees[[#This Row],[Référence]]&amp;"",Tbl_Catalogue[],5,FALSE)),"INCONNU")</f>
        <v>INCONNU</v>
      </c>
      <c r="J148" s="3" t="str">
        <f>IFERROR(IF(VLOOKUP(Tbl_Donnees[[#This Row],[Référence]]&amp;"",Tbl_Catalogue[],6,FALSE)=0,"-",VLOOKUP(Tbl_Donnees[[#This Row],[Référence]]&amp;"",Tbl_Catalogue[],6,FALSE)),"-")</f>
        <v>https://store.boschrexroth.com/fr/fr/p/0810090121</v>
      </c>
      <c r="K148" s="2" t="str">
        <f>IFERROR(IF(VLOOKUP(Tbl_Donnees[[#This Row],[Référence]]&amp;"",Tbl_Catalogue[],7,FALSE)=0,"-",VLOOKUP(Tbl_Donnees[[#This Row],[Référence]]&amp;"",Tbl_Catalogue[],7,FALSE)),"-")</f>
        <v>INCONNU</v>
      </c>
      <c r="L148" s="5" t="str">
        <f>IFERROR(IF(VLOOKUP(Tbl_Donnees[[#This Row],[Référence]]&amp;"",Tbl_Catalogue[],10,FALSE)=0,"-",VLOOKUP(Tbl_Donnees[[#This Row],[Référence]]&amp;"",Tbl_Catalogue[],10,FALSE)),"-")</f>
        <v>-</v>
      </c>
      <c r="M148" s="2" t="str">
        <f>IFERROR(IF(VLOOKUP(Tbl_Donnees[[#This Row],[Référence]]&amp;"",Tbl_Catalogue[],8,FALSE)=0,"-",VLOOKUP(Tbl_Donnees[[#This Row],[Référence]]&amp;"",Tbl_Catalogue[],8,FALSE)),"-")</f>
        <v>-</v>
      </c>
      <c r="N148" s="5" t="str">
        <f>IFERROR(IF(VLOOKUP(Tbl_Donnees[[#This Row],[Référence]]&amp;"",Tbl_Catalogue[],9,FALSE)=0,"-",VLOOKUP(Tbl_Donnees[[#This Row],[Référence]]&amp;"",Tbl_Catalogue[],9,FALSE)),"-")</f>
        <v>-</v>
      </c>
      <c r="O148" s="5" t="str">
        <f>IFERROR(IF(VLOOKUP(Tbl_Donnees[[#This Row],[Référence]]&amp;"",Tbl_Catalogue[],11,FALSE)=0,"-",VLOOKUP(Tbl_Donnees[[#This Row],[Référence]]&amp;"",Tbl_Catalogue[],11,FALSE)),"-")</f>
        <v>-</v>
      </c>
      <c r="P148" s="2" t="str">
        <f>IFERROR(IF(VLOOKUP(Tbl_Donnees[[#This Row],[Référence]]&amp;"",Tbl_Catalogue[],12,FALSE)=0,"-",VLOOKUP(Tbl_Donnees[[#This Row],[Référence]]&amp;"",Tbl_Catalogue[],12,FALSE)),"-")</f>
        <v>-</v>
      </c>
      <c r="Q148" s="13" t="str">
        <f>IFERROR(IF(VLOOKUP(Tbl_Donnees[[#This Row],[Référence]]&amp;"",Tbl_Catalogue[],13,FALSE)=0,"-",VLOOKUP(Tbl_Donnees[[#This Row],[Référence]]&amp;"",Tbl_Catalogue[],13,FALSE)),"-")</f>
        <v>-</v>
      </c>
      <c r="R148" s="5"/>
    </row>
    <row r="149" spans="1:18" x14ac:dyDescent="0.2">
      <c r="A149" s="2" t="s">
        <v>356</v>
      </c>
      <c r="B149" s="5" t="s">
        <v>620</v>
      </c>
      <c r="C149" s="5" t="s">
        <v>140</v>
      </c>
      <c r="D149" s="6" t="str">
        <f>IFERROR(IF(VLOOKUP(Tbl_Donnees[[#This Row],[Référence]]&amp;"",Tbl_Catalogue[],3,FALSE)=0,"-",VLOOKUP(Tbl_Donnees[[#This Row],[Référence]]&amp;"",Tbl_Catalogue[],3,FALSE)),"-")</f>
        <v>DISTRIB. ELECT. WV N104</v>
      </c>
      <c r="E149" s="6">
        <v>1</v>
      </c>
      <c r="F149" s="6" t="str">
        <f>IFERROR(IF(VLOOKUP(Tbl_Donnees[[#This Row],[Référence]]&amp;"",Tbl_Catalogue[],2,FALSE)=0,"-",VLOOKUP(Tbl_Donnees[[#This Row],[Référence]]&amp;"",Tbl_Catalogue[],2,FALSE)),"-")</f>
        <v>BOSCH</v>
      </c>
      <c r="G149" s="20" t="s">
        <v>260</v>
      </c>
      <c r="H149" s="6" t="str">
        <f>IFERROR(IF(VLOOKUP(Tbl_Donnees[[#This Row],[Référence]]&amp;"",Tbl_Catalogue[],4,FALSE)=0,"-",VLOOKUP(Tbl_Donnees[[#This Row],[Référence]]&amp;"",Tbl_Catalogue[],4,FALSE)),"-")</f>
        <v>Obsolète</v>
      </c>
      <c r="I149" s="2" t="str">
        <f>IFERROR(IF(VLOOKUP(Tbl_Donnees[[#This Row],[Référence]]&amp;"",Tbl_Catalogue[],5,FALSE)=0,"-",VLOOKUP(Tbl_Donnees[[#This Row],[Référence]]&amp;"",Tbl_Catalogue[],5,FALSE)),"INCONNU")</f>
        <v>INCONNU</v>
      </c>
      <c r="J149" s="3" t="str">
        <f>IFERROR(IF(VLOOKUP(Tbl_Donnees[[#This Row],[Référence]]&amp;"",Tbl_Catalogue[],6,FALSE)=0,"-",VLOOKUP(Tbl_Donnees[[#This Row],[Référence]]&amp;"",Tbl_Catalogue[],6,FALSE)),"-")</f>
        <v>-</v>
      </c>
      <c r="K149" s="2" t="str">
        <f>IFERROR(IF(VLOOKUP(Tbl_Donnees[[#This Row],[Référence]]&amp;"",Tbl_Catalogue[],7,FALSE)=0,"-",VLOOKUP(Tbl_Donnees[[#This Row],[Référence]]&amp;"",Tbl_Catalogue[],7,FALSE)),"-")</f>
        <v>INCONNU</v>
      </c>
      <c r="L149" s="5" t="str">
        <f>IFERROR(IF(VLOOKUP(Tbl_Donnees[[#This Row],[Référence]]&amp;"",Tbl_Catalogue[],10,FALSE)=0,"-",VLOOKUP(Tbl_Donnees[[#This Row],[Référence]]&amp;"",Tbl_Catalogue[],10,FALSE)),"-")</f>
        <v>-</v>
      </c>
      <c r="M149" s="2" t="str">
        <f>IFERROR(IF(VLOOKUP(Tbl_Donnees[[#This Row],[Référence]]&amp;"",Tbl_Catalogue[],8,FALSE)=0,"-",VLOOKUP(Tbl_Donnees[[#This Row],[Référence]]&amp;"",Tbl_Catalogue[],8,FALSE)),"-")</f>
        <v>-</v>
      </c>
      <c r="N149" s="5" t="str">
        <f>IFERROR(IF(VLOOKUP(Tbl_Donnees[[#This Row],[Référence]]&amp;"",Tbl_Catalogue[],9,FALSE)=0,"-",VLOOKUP(Tbl_Donnees[[#This Row],[Référence]]&amp;"",Tbl_Catalogue[],9,FALSE)),"-")</f>
        <v>-</v>
      </c>
      <c r="O149" s="5" t="str">
        <f>IFERROR(IF(VLOOKUP(Tbl_Donnees[[#This Row],[Référence]]&amp;"",Tbl_Catalogue[],11,FALSE)=0,"-",VLOOKUP(Tbl_Donnees[[#This Row],[Référence]]&amp;"",Tbl_Catalogue[],11,FALSE)),"-")</f>
        <v>-</v>
      </c>
      <c r="P149" s="2" t="str">
        <f>IFERROR(IF(VLOOKUP(Tbl_Donnees[[#This Row],[Référence]]&amp;"",Tbl_Catalogue[],12,FALSE)=0,"-",VLOOKUP(Tbl_Donnees[[#This Row],[Référence]]&amp;"",Tbl_Catalogue[],12,FALSE)),"-")</f>
        <v>-</v>
      </c>
      <c r="Q149" s="13" t="str">
        <f>IFERROR(IF(VLOOKUP(Tbl_Donnees[[#This Row],[Référence]]&amp;"",Tbl_Catalogue[],13,FALSE)=0,"-",VLOOKUP(Tbl_Donnees[[#This Row],[Référence]]&amp;"",Tbl_Catalogue[],13,FALSE)),"-")</f>
        <v>-</v>
      </c>
      <c r="R149" s="2"/>
    </row>
    <row r="150" spans="1:18" x14ac:dyDescent="0.2">
      <c r="A150" s="2" t="s">
        <v>356</v>
      </c>
      <c r="B150" s="5" t="s">
        <v>620</v>
      </c>
      <c r="C150" s="5" t="s">
        <v>140</v>
      </c>
      <c r="D150" s="6" t="str">
        <f>IFERROR(IF(VLOOKUP(Tbl_Donnees[[#This Row],[Référence]]&amp;"",Tbl_Catalogue[],3,FALSE)=0,"-",VLOOKUP(Tbl_Donnees[[#This Row],[Référence]]&amp;"",Tbl_Catalogue[],3,FALSE)),"-")</f>
        <v>DISTRIB. ELECT. WV N101</v>
      </c>
      <c r="E150" s="6">
        <v>1</v>
      </c>
      <c r="F150" s="6" t="str">
        <f>IFERROR(IF(VLOOKUP(Tbl_Donnees[[#This Row],[Référence]]&amp;"",Tbl_Catalogue[],2,FALSE)=0,"-",VLOOKUP(Tbl_Donnees[[#This Row],[Référence]]&amp;"",Tbl_Catalogue[],2,FALSE)),"-")</f>
        <v>BOSCH</v>
      </c>
      <c r="G150" s="20" t="s">
        <v>262</v>
      </c>
      <c r="H150" s="6" t="str">
        <f>IFERROR(IF(VLOOKUP(Tbl_Donnees[[#This Row],[Référence]]&amp;"",Tbl_Catalogue[],4,FALSE)=0,"-",VLOOKUP(Tbl_Donnees[[#This Row],[Référence]]&amp;"",Tbl_Catalogue[],4,FALSE)),"-")</f>
        <v>Obsolète</v>
      </c>
      <c r="I150" s="2" t="str">
        <f>IFERROR(IF(VLOOKUP(Tbl_Donnees[[#This Row],[Référence]]&amp;"",Tbl_Catalogue[],5,FALSE)=0,"-",VLOOKUP(Tbl_Donnees[[#This Row],[Référence]]&amp;"",Tbl_Catalogue[],5,FALSE)),"INCONNU")</f>
        <v>INCONNU</v>
      </c>
      <c r="J150" s="3" t="str">
        <f>IFERROR(IF(VLOOKUP(Tbl_Donnees[[#This Row],[Référence]]&amp;"",Tbl_Catalogue[],6,FALSE)=0,"-",VLOOKUP(Tbl_Donnees[[#This Row],[Référence]]&amp;"",Tbl_Catalogue[],6,FALSE)),"-")</f>
        <v>-</v>
      </c>
      <c r="K150" s="2" t="str">
        <f>IFERROR(IF(VLOOKUP(Tbl_Donnees[[#This Row],[Référence]]&amp;"",Tbl_Catalogue[],7,FALSE)=0,"-",VLOOKUP(Tbl_Donnees[[#This Row],[Référence]]&amp;"",Tbl_Catalogue[],7,FALSE)),"-")</f>
        <v>INCONNU</v>
      </c>
      <c r="L150" s="5" t="str">
        <f>IFERROR(IF(VLOOKUP(Tbl_Donnees[[#This Row],[Référence]]&amp;"",Tbl_Catalogue[],10,FALSE)=0,"-",VLOOKUP(Tbl_Donnees[[#This Row],[Référence]]&amp;"",Tbl_Catalogue[],10,FALSE)),"-")</f>
        <v>-</v>
      </c>
      <c r="M150" s="2" t="str">
        <f>IFERROR(IF(VLOOKUP(Tbl_Donnees[[#This Row],[Référence]]&amp;"",Tbl_Catalogue[],8,FALSE)=0,"-",VLOOKUP(Tbl_Donnees[[#This Row],[Référence]]&amp;"",Tbl_Catalogue[],8,FALSE)),"-")</f>
        <v>-</v>
      </c>
      <c r="N150" s="5" t="str">
        <f>IFERROR(IF(VLOOKUP(Tbl_Donnees[[#This Row],[Référence]]&amp;"",Tbl_Catalogue[],9,FALSE)=0,"-",VLOOKUP(Tbl_Donnees[[#This Row],[Référence]]&amp;"",Tbl_Catalogue[],9,FALSE)),"-")</f>
        <v>-</v>
      </c>
      <c r="O150" s="5" t="str">
        <f>IFERROR(IF(VLOOKUP(Tbl_Donnees[[#This Row],[Référence]]&amp;"",Tbl_Catalogue[],11,FALSE)=0,"-",VLOOKUP(Tbl_Donnees[[#This Row],[Référence]]&amp;"",Tbl_Catalogue[],11,FALSE)),"-")</f>
        <v>-</v>
      </c>
      <c r="P150" s="2" t="str">
        <f>IFERROR(IF(VLOOKUP(Tbl_Donnees[[#This Row],[Référence]]&amp;"",Tbl_Catalogue[],12,FALSE)=0,"-",VLOOKUP(Tbl_Donnees[[#This Row],[Référence]]&amp;"",Tbl_Catalogue[],12,FALSE)),"-")</f>
        <v>-</v>
      </c>
      <c r="Q150" s="13" t="str">
        <f>IFERROR(IF(VLOOKUP(Tbl_Donnees[[#This Row],[Référence]]&amp;"",Tbl_Catalogue[],13,FALSE)=0,"-",VLOOKUP(Tbl_Donnees[[#This Row],[Référence]]&amp;"",Tbl_Catalogue[],13,FALSE)),"-")</f>
        <v>-</v>
      </c>
      <c r="R150" s="5"/>
    </row>
    <row r="151" spans="1:18" x14ac:dyDescent="0.2">
      <c r="A151" s="2" t="s">
        <v>357</v>
      </c>
      <c r="B151" s="5" t="s">
        <v>41</v>
      </c>
      <c r="C151" s="5" t="s">
        <v>60</v>
      </c>
      <c r="D151" s="6" t="str">
        <f>IFERROR(IF(VLOOKUP(Tbl_Donnees[[#This Row],[Référence]]&amp;"",Tbl_Catalogue[],3,FALSE)=0,"-",VLOOKUP(Tbl_Donnees[[#This Row],[Référence]]&amp;"",Tbl_Catalogue[],3,FALSE)),"-")</f>
        <v xml:space="preserve">MOD. 16DI/DO 24VCC SM323 </v>
      </c>
      <c r="E151" s="6">
        <v>3</v>
      </c>
      <c r="F151" s="6" t="str">
        <f>IFERROR(IF(VLOOKUP(Tbl_Donnees[[#This Row],[Référence]]&amp;"",Tbl_Catalogue[],2,FALSE)=0,"-",VLOOKUP(Tbl_Donnees[[#This Row],[Référence]]&amp;"",Tbl_Catalogue[],2,FALSE)),"-")</f>
        <v>SIEMENS</v>
      </c>
      <c r="G151" s="20" t="s">
        <v>43</v>
      </c>
      <c r="H151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51" s="2" t="str">
        <f>IFERROR(IF(VLOOKUP(Tbl_Donnees[[#This Row],[Référence]]&amp;"",Tbl_Catalogue[],5,FALSE)=0,"-",VLOOKUP(Tbl_Donnees[[#This Row],[Référence]]&amp;"",Tbl_Catalogue[],5,FALSE)),"INCONNU")</f>
        <v>RECHANGE</v>
      </c>
      <c r="J15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https://sieportal.siemens.com/fr-fr/products-services/detail/6ES7323-1BL00-0AA0?tree=CatalogTree</v>
      </c>
      <c r="K151" s="2" t="str">
        <f>IFERROR(IF(VLOOKUP(Tbl_Donnees[[#This Row],[Référence]]&amp;"",Tbl_Catalogue[],7,FALSE)=0,"-",VLOOKUP(Tbl_Donnees[[#This Row],[Référence]]&amp;"",Tbl_Catalogue[],7,FALSE)),"-")</f>
        <v>INCONNU</v>
      </c>
      <c r="L151" s="5" t="str">
        <f>IFERROR(IF(VLOOKUP(Tbl_Donnees[[#This Row],[Référence]]&amp;"",Tbl_Catalogue[],10,FALSE)=0,"-",VLOOKUP(Tbl_Donnees[[#This Row],[Référence]]&amp;"",Tbl_Catalogue[],10,FALSE)),"-")</f>
        <v>-</v>
      </c>
      <c r="M151" s="2" t="str">
        <f>IFERROR(IF(VLOOKUP(Tbl_Donnees[[#This Row],[Référence]]&amp;"",Tbl_Catalogue[],8,FALSE)=0,"-",VLOOKUP(Tbl_Donnees[[#This Row],[Référence]]&amp;"",Tbl_Catalogue[],8,FALSE)),"-")</f>
        <v>-</v>
      </c>
      <c r="N151" s="5" t="str">
        <f>IFERROR(IF(VLOOKUP(Tbl_Donnees[[#This Row],[Référence]]&amp;"",Tbl_Catalogue[],9,FALSE)=0,"-",VLOOKUP(Tbl_Donnees[[#This Row],[Référence]]&amp;"",Tbl_Catalogue[],9,FALSE)),"-")</f>
        <v>-</v>
      </c>
      <c r="O151" s="5" t="str">
        <f>IFERROR(IF(VLOOKUP(Tbl_Donnees[[#This Row],[Référence]]&amp;"",Tbl_Catalogue[],11,FALSE)=0,"-",VLOOKUP(Tbl_Donnees[[#This Row],[Référence]]&amp;"",Tbl_Catalogue[],11,FALSE)),"-")</f>
        <v>-</v>
      </c>
      <c r="P151" s="2" t="str">
        <f>IFERROR(IF(VLOOKUP(Tbl_Donnees[[#This Row],[Référence]]&amp;"",Tbl_Catalogue[],12,FALSE)=0,"-",VLOOKUP(Tbl_Donnees[[#This Row],[Référence]]&amp;"",Tbl_Catalogue[],12,FALSE)),"-")</f>
        <v>-</v>
      </c>
      <c r="Q151" s="13" t="str">
        <f>IFERROR(IF(VLOOKUP(Tbl_Donnees[[#This Row],[Référence]]&amp;"",Tbl_Catalogue[],13,FALSE)=0,"-",VLOOKUP(Tbl_Donnees[[#This Row],[Référence]]&amp;"",Tbl_Catalogue[],13,FALSE)),"-")</f>
        <v>-</v>
      </c>
      <c r="R151" s="5"/>
    </row>
    <row r="152" spans="1:18" x14ac:dyDescent="0.2">
      <c r="A152" s="2" t="s">
        <v>357</v>
      </c>
      <c r="B152" s="5" t="s">
        <v>41</v>
      </c>
      <c r="C152" s="5" t="s">
        <v>60</v>
      </c>
      <c r="D152" s="6" t="str">
        <f>IFERROR(IF(VLOOKUP(Tbl_Donnees[[#This Row],[Référence]]&amp;"",Tbl_Catalogue[],3,FALSE)=0,"-",VLOOKUP(Tbl_Donnees[[#This Row],[Référence]]&amp;"",Tbl_Catalogue[],3,FALSE)),"-")</f>
        <v>MOD. 2 AO 11/12BIT SM332</v>
      </c>
      <c r="E152" s="6">
        <v>1</v>
      </c>
      <c r="F152" s="6" t="str">
        <f>IFERROR(IF(VLOOKUP(Tbl_Donnees[[#This Row],[Référence]]&amp;"",Tbl_Catalogue[],2,FALSE)=0,"-",VLOOKUP(Tbl_Donnees[[#This Row],[Référence]]&amp;"",Tbl_Catalogue[],2,FALSE)),"-")</f>
        <v>SIEMENS</v>
      </c>
      <c r="G152" s="20" t="s">
        <v>11</v>
      </c>
      <c r="H152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52" s="2" t="str">
        <f>IFERROR(IF(VLOOKUP(Tbl_Donnees[[#This Row],[Référence]]&amp;"",Tbl_Catalogue[],5,FALSE)=0,"-",VLOOKUP(Tbl_Donnees[[#This Row],[Référence]]&amp;"",Tbl_Catalogue[],5,FALSE)),"INCONNU")</f>
        <v>RECHANGE</v>
      </c>
      <c r="J152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https://sieportal.siemens.com/en-ww/products-services/detail/6ES7332-5HB01-0AB0?tree=CatalogTree</v>
      </c>
      <c r="K152" s="2" t="str">
        <f>IFERROR(IF(VLOOKUP(Tbl_Donnees[[#This Row],[Référence]]&amp;"",Tbl_Catalogue[],7,FALSE)=0,"-",VLOOKUP(Tbl_Donnees[[#This Row],[Référence]]&amp;"",Tbl_Catalogue[],7,FALSE)),"-")</f>
        <v>INCONNU</v>
      </c>
      <c r="L152" s="5" t="str">
        <f>IFERROR(IF(VLOOKUP(Tbl_Donnees[[#This Row],[Référence]]&amp;"",Tbl_Catalogue[],10,FALSE)=0,"-",VLOOKUP(Tbl_Donnees[[#This Row],[Référence]]&amp;"",Tbl_Catalogue[],10,FALSE)),"-")</f>
        <v>-</v>
      </c>
      <c r="M152" s="2" t="str">
        <f>IFERROR(IF(VLOOKUP(Tbl_Donnees[[#This Row],[Référence]]&amp;"",Tbl_Catalogue[],8,FALSE)=0,"-",VLOOKUP(Tbl_Donnees[[#This Row],[Référence]]&amp;"",Tbl_Catalogue[],8,FALSE)),"-")</f>
        <v>-</v>
      </c>
      <c r="N152" s="5" t="str">
        <f>IFERROR(IF(VLOOKUP(Tbl_Donnees[[#This Row],[Référence]]&amp;"",Tbl_Catalogue[],9,FALSE)=0,"-",VLOOKUP(Tbl_Donnees[[#This Row],[Référence]]&amp;"",Tbl_Catalogue[],9,FALSE)),"-")</f>
        <v>-</v>
      </c>
      <c r="O152" s="5" t="str">
        <f>IFERROR(IF(VLOOKUP(Tbl_Donnees[[#This Row],[Référence]]&amp;"",Tbl_Catalogue[],11,FALSE)=0,"-",VLOOKUP(Tbl_Donnees[[#This Row],[Référence]]&amp;"",Tbl_Catalogue[],11,FALSE)),"-")</f>
        <v>-</v>
      </c>
      <c r="P152" s="2" t="str">
        <f>IFERROR(IF(VLOOKUP(Tbl_Donnees[[#This Row],[Référence]]&amp;"",Tbl_Catalogue[],12,FALSE)=0,"-",VLOOKUP(Tbl_Donnees[[#This Row],[Référence]]&amp;"",Tbl_Catalogue[],12,FALSE)),"-")</f>
        <v>-</v>
      </c>
      <c r="Q152" s="13" t="str">
        <f>IFERROR(IF(VLOOKUP(Tbl_Donnees[[#This Row],[Référence]]&amp;"",Tbl_Catalogue[],13,FALSE)=0,"-",VLOOKUP(Tbl_Donnees[[#This Row],[Référence]]&amp;"",Tbl_Catalogue[],13,FALSE)),"-")</f>
        <v>-</v>
      </c>
      <c r="R152" s="2"/>
    </row>
    <row r="153" spans="1:18" x14ac:dyDescent="0.2">
      <c r="A153" s="2" t="s">
        <v>357</v>
      </c>
      <c r="B153" s="5" t="s">
        <v>41</v>
      </c>
      <c r="C153" s="5" t="s">
        <v>60</v>
      </c>
      <c r="D153" s="6" t="str">
        <f>IFERROR(IF(VLOOKUP(Tbl_Donnees[[#This Row],[Référence]]&amp;"",Tbl_Catalogue[],3,FALSE)=0,"-",VLOOKUP(Tbl_Donnees[[#This Row],[Référence]]&amp;"",Tbl_Catalogue[],3,FALSE)),"-")</f>
        <v>DISJONCTEUR 6KA 1P C6</v>
      </c>
      <c r="E153" s="6">
        <v>1</v>
      </c>
      <c r="F153" s="6" t="str">
        <f>IFERROR(IF(VLOOKUP(Tbl_Donnees[[#This Row],[Référence]]&amp;"",Tbl_Catalogue[],2,FALSE)=0,"-",VLOOKUP(Tbl_Donnees[[#This Row],[Référence]]&amp;"",Tbl_Catalogue[],2,FALSE)),"-")</f>
        <v>SIEMENS</v>
      </c>
      <c r="G153" s="20" t="s">
        <v>404</v>
      </c>
      <c r="H153" s="6" t="str">
        <f>IFERROR(IF(VLOOKUP(Tbl_Donnees[[#This Row],[Référence]]&amp;"",Tbl_Catalogue[],4,FALSE)=0,"-",VLOOKUP(Tbl_Donnees[[#This Row],[Référence]]&amp;"",Tbl_Catalogue[],4,FALSE)),"-")</f>
        <v>Fin de vie du produit (01/04/2014)</v>
      </c>
      <c r="I153" s="2" t="str">
        <f>IFERROR(IF(VLOOKUP(Tbl_Donnees[[#This Row],[Référence]]&amp;"",Tbl_Catalogue[],5,FALSE)=0,"-",VLOOKUP(Tbl_Donnees[[#This Row],[Référence]]&amp;"",Tbl_Catalogue[],5,FALSE)),"INCONNU")</f>
        <v>OBSOLETE</v>
      </c>
      <c r="J153" s="3" t="str">
        <f>IFERROR(IF(VLOOKUP(Tbl_Donnees[[#This Row],[Référence]]&amp;"",Tbl_Catalogue[],6,FALSE)=0,"-",VLOOKUP(Tbl_Donnees[[#This Row],[Référence]]&amp;"",Tbl_Catalogue[],6,FALSE)),"-")</f>
        <v>https://support.industry.siemens.com/cs/pd/350233?pdti=pi&amp;dl=fr&amp;lc=fr-FR</v>
      </c>
      <c r="K153" s="2" t="str">
        <f>IFERROR(IF(VLOOKUP(Tbl_Donnees[[#This Row],[Référence]]&amp;"",Tbl_Catalogue[],7,FALSE)=0,"-",VLOOKUP(Tbl_Donnees[[#This Row],[Référence]]&amp;"",Tbl_Catalogue[],7,FALSE)),"-")</f>
        <v>OUI</v>
      </c>
      <c r="L153" s="5" t="str">
        <f>IFERROR(IF(VLOOKUP(Tbl_Donnees[[#This Row],[Référence]]&amp;"",Tbl_Catalogue[],10,FALSE)=0,"-",VLOOKUP(Tbl_Donnees[[#This Row],[Référence]]&amp;"",Tbl_Catalogue[],10,FALSE)),"-")</f>
        <v>-</v>
      </c>
      <c r="M153" s="2" t="str">
        <f>IFERROR(IF(VLOOKUP(Tbl_Donnees[[#This Row],[Référence]]&amp;"",Tbl_Catalogue[],8,FALSE)=0,"-",VLOOKUP(Tbl_Donnees[[#This Row],[Référence]]&amp;"",Tbl_Catalogue[],8,FALSE)),"-")</f>
        <v>5SL6106-7MB D70MM INSTEAD OF D55MM</v>
      </c>
      <c r="N153" s="5" t="str">
        <f>IFERROR(IF(VLOOKUP(Tbl_Donnees[[#This Row],[Référence]]&amp;"",Tbl_Catalogue[],9,FALSE)=0,"-",VLOOKUP(Tbl_Donnees[[#This Row],[Référence]]&amp;"",Tbl_Catalogue[],9,FALSE)),"-")</f>
        <v>SIEMENS</v>
      </c>
      <c r="O153" s="5" t="str">
        <f>IFERROR(IF(VLOOKUP(Tbl_Donnees[[#This Row],[Référence]]&amp;"",Tbl_Catalogue[],11,FALSE)=0,"-",VLOOKUP(Tbl_Donnees[[#This Row],[Référence]]&amp;"",Tbl_Catalogue[],11,FALSE)),"-")</f>
        <v>-</v>
      </c>
      <c r="P153" s="2" t="str">
        <f>IFERROR(IF(VLOOKUP(Tbl_Donnees[[#This Row],[Référence]]&amp;"",Tbl_Catalogue[],12,FALSE)=0,"-",VLOOKUP(Tbl_Donnees[[#This Row],[Référence]]&amp;"",Tbl_Catalogue[],12,FALSE)),"-")</f>
        <v>-</v>
      </c>
      <c r="Q153" s="13" t="str">
        <f>IFERROR(IF(VLOOKUP(Tbl_Donnees[[#This Row],[Référence]]&amp;"",Tbl_Catalogue[],13,FALSE)=0,"-",VLOOKUP(Tbl_Donnees[[#This Row],[Référence]]&amp;"",Tbl_Catalogue[],13,FALSE)),"-")</f>
        <v>-</v>
      </c>
      <c r="R153" s="5"/>
    </row>
    <row r="154" spans="1:18" x14ac:dyDescent="0.2">
      <c r="A154" s="2" t="s">
        <v>357</v>
      </c>
      <c r="B154" s="5" t="s">
        <v>41</v>
      </c>
      <c r="C154" s="5" t="s">
        <v>60</v>
      </c>
      <c r="D154" s="6" t="str">
        <f>IFERROR(IF(VLOOKUP(Tbl_Donnees[[#This Row],[Référence]]&amp;"",Tbl_Catalogue[],3,FALSE)=0,"-",VLOOKUP(Tbl_Donnees[[#This Row],[Référence]]&amp;"",Tbl_Catalogue[],3,FALSE)),"-")</f>
        <v>DISJ. MOTEUR SIRIUS 3R</v>
      </c>
      <c r="E154" s="6">
        <v>1</v>
      </c>
      <c r="F154" s="6" t="str">
        <f>IFERROR(IF(VLOOKUP(Tbl_Donnees[[#This Row],[Référence]]&amp;"",Tbl_Catalogue[],2,FALSE)=0,"-",VLOOKUP(Tbl_Donnees[[#This Row],[Référence]]&amp;"",Tbl_Catalogue[],2,FALSE)),"-")</f>
        <v>SIEMENS</v>
      </c>
      <c r="G154" s="20" t="s">
        <v>53</v>
      </c>
      <c r="H154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154" s="2" t="str">
        <f>IFERROR(IF(VLOOKUP(Tbl_Donnees[[#This Row],[Référence]]&amp;"",Tbl_Catalogue[],5,FALSE)=0,"-",VLOOKUP(Tbl_Donnees[[#This Row],[Référence]]&amp;"",Tbl_Catalogue[],5,FALSE)),"INCONNU")</f>
        <v>OBSOLETE</v>
      </c>
      <c r="J15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https://sieportal.siemens.com/fr-fr/products-services/detail/3RV1021-1GA15?tree=CatalogTree</v>
      </c>
      <c r="K154" s="2" t="str">
        <f>IFERROR(IF(VLOOKUP(Tbl_Donnees[[#This Row],[Référence]]&amp;"",Tbl_Catalogue[],7,FALSE)=0,"-",VLOOKUP(Tbl_Donnees[[#This Row],[Référence]]&amp;"",Tbl_Catalogue[],7,FALSE)),"-")</f>
        <v>OUI</v>
      </c>
      <c r="L154" s="5" t="str">
        <f>IFERROR(IF(VLOOKUP(Tbl_Donnees[[#This Row],[Référence]]&amp;"",Tbl_Catalogue[],10,FALSE)=0,"-",VLOOKUP(Tbl_Donnees[[#This Row],[Référence]]&amp;"",Tbl_Catalogue[],10,FALSE)),"-")</f>
        <v>-</v>
      </c>
      <c r="M154" s="2" t="str">
        <f>IFERROR(IF(VLOOKUP(Tbl_Donnees[[#This Row],[Référence]]&amp;"",Tbl_Catalogue[],8,FALSE)=0,"-",VLOOKUP(Tbl_Donnees[[#This Row],[Référence]]&amp;"",Tbl_Catalogue[],8,FALSE)),"-")</f>
        <v>3RV2011-1GA15</v>
      </c>
      <c r="N154" s="5" t="str">
        <f>IFERROR(IF(VLOOKUP(Tbl_Donnees[[#This Row],[Référence]]&amp;"",Tbl_Catalogue[],9,FALSE)=0,"-",VLOOKUP(Tbl_Donnees[[#This Row],[Référence]]&amp;"",Tbl_Catalogue[],9,FALSE)),"-")</f>
        <v>SIEMENS</v>
      </c>
      <c r="O154" s="5" t="str">
        <f>IFERROR(IF(VLOOKUP(Tbl_Donnees[[#This Row],[Référence]]&amp;"",Tbl_Catalogue[],11,FALSE)=0,"-",VLOOKUP(Tbl_Donnees[[#This Row],[Référence]]&amp;"",Tbl_Catalogue[],11,FALSE)),"-")</f>
        <v>-</v>
      </c>
      <c r="P154" s="2" t="str">
        <f>IFERROR(IF(VLOOKUP(Tbl_Donnees[[#This Row],[Référence]]&amp;"",Tbl_Catalogue[],12,FALSE)=0,"-",VLOOKUP(Tbl_Donnees[[#This Row],[Référence]]&amp;"",Tbl_Catalogue[],12,FALSE)),"-")</f>
        <v>ACTIF</v>
      </c>
      <c r="Q154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154" s="2"/>
    </row>
    <row r="155" spans="1:18" x14ac:dyDescent="0.2">
      <c r="A155" s="2" t="s">
        <v>357</v>
      </c>
      <c r="B155" s="5" t="s">
        <v>41</v>
      </c>
      <c r="C155" s="5" t="s">
        <v>60</v>
      </c>
      <c r="D155" s="6" t="str">
        <f>IFERROR(IF(VLOOKUP(Tbl_Donnees[[#This Row],[Référence]]&amp;"",Tbl_Catalogue[],3,FALSE)=0,"-",VLOOKUP(Tbl_Donnees[[#This Row],[Référence]]&amp;"",Tbl_Catalogue[],3,FALSE)),"-")</f>
        <v>DISJ. MOTEUR SIRIUS 3R</v>
      </c>
      <c r="E155" s="6">
        <v>1</v>
      </c>
      <c r="F155" s="6" t="str">
        <f>IFERROR(IF(VLOOKUP(Tbl_Donnees[[#This Row],[Référence]]&amp;"",Tbl_Catalogue[],2,FALSE)=0,"-",VLOOKUP(Tbl_Donnees[[#This Row],[Référence]]&amp;"",Tbl_Catalogue[],2,FALSE)),"-")</f>
        <v>SIEMENS</v>
      </c>
      <c r="G155" s="20" t="s">
        <v>168</v>
      </c>
      <c r="H155" s="6" t="str">
        <f>IFERROR(IF(VLOOKUP(Tbl_Donnees[[#This Row],[Référence]]&amp;"",Tbl_Catalogue[],4,FALSE)=0,"-",VLOOKUP(Tbl_Donnees[[#This Row],[Référence]]&amp;"",Tbl_Catalogue[],4,FALSE)),"-")</f>
        <v>Fin de vie du produit (31/12/2025)</v>
      </c>
      <c r="I155" s="2" t="str">
        <f>IFERROR(IF(VLOOKUP(Tbl_Donnees[[#This Row],[Référence]]&amp;"",Tbl_Catalogue[],5,FALSE)=0,"-",VLOOKUP(Tbl_Donnees[[#This Row],[Référence]]&amp;"",Tbl_Catalogue[],5,FALSE)),"INCONNU")</f>
        <v>OBSOLETE</v>
      </c>
      <c r="J15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https://sieportal.siemens.com/fr-fr/products-services/detail/3RV1021-1AA15?tree=CatalogTree</v>
      </c>
      <c r="K155" s="2" t="str">
        <f>IFERROR(IF(VLOOKUP(Tbl_Donnees[[#This Row],[Référence]]&amp;"",Tbl_Catalogue[],7,FALSE)=0,"-",VLOOKUP(Tbl_Donnees[[#This Row],[Référence]]&amp;"",Tbl_Catalogue[],7,FALSE)),"-")</f>
        <v>OUI</v>
      </c>
      <c r="L155" s="5" t="str">
        <f>IFERROR(IF(VLOOKUP(Tbl_Donnees[[#This Row],[Référence]]&amp;"",Tbl_Catalogue[],10,FALSE)=0,"-",VLOOKUP(Tbl_Donnees[[#This Row],[Référence]]&amp;"",Tbl_Catalogue[],10,FALSE)),"-")</f>
        <v>-</v>
      </c>
      <c r="M155" s="2" t="str">
        <f>IFERROR(IF(VLOOKUP(Tbl_Donnees[[#This Row],[Référence]]&amp;"",Tbl_Catalogue[],8,FALSE)=0,"-",VLOOKUP(Tbl_Donnees[[#This Row],[Référence]]&amp;"",Tbl_Catalogue[],8,FALSE)),"-")</f>
        <v>3RV2011-1AA15</v>
      </c>
      <c r="N155" s="5" t="str">
        <f>IFERROR(IF(VLOOKUP(Tbl_Donnees[[#This Row],[Référence]]&amp;"",Tbl_Catalogue[],9,FALSE)=0,"-",VLOOKUP(Tbl_Donnees[[#This Row],[Référence]]&amp;"",Tbl_Catalogue[],9,FALSE)),"-")</f>
        <v>SIEMENS</v>
      </c>
      <c r="O155" s="5" t="str">
        <f>IFERROR(IF(VLOOKUP(Tbl_Donnees[[#This Row],[Référence]]&amp;"",Tbl_Catalogue[],11,FALSE)=0,"-",VLOOKUP(Tbl_Donnees[[#This Row],[Référence]]&amp;"",Tbl_Catalogue[],11,FALSE)),"-")</f>
        <v>-</v>
      </c>
      <c r="P155" s="2" t="str">
        <f>IFERROR(IF(VLOOKUP(Tbl_Donnees[[#This Row],[Référence]]&amp;"",Tbl_Catalogue[],12,FALSE)=0,"-",VLOOKUP(Tbl_Donnees[[#This Row],[Référence]]&amp;"",Tbl_Catalogue[],12,FALSE)),"-")</f>
        <v>ACTIF</v>
      </c>
      <c r="Q155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https://sieportal.siemens.com/fr-fr/products-services/detail/3RV2011-1GA15?tree=CatalogTree</v>
      </c>
      <c r="R155" s="5"/>
    </row>
    <row r="156" spans="1:18" x14ac:dyDescent="0.2">
      <c r="A156" s="2" t="s">
        <v>357</v>
      </c>
      <c r="B156" s="5" t="s">
        <v>41</v>
      </c>
      <c r="C156" s="5" t="s">
        <v>60</v>
      </c>
      <c r="D156" s="6" t="str">
        <f>IFERROR(IF(VLOOKUP(Tbl_Donnees[[#This Row],[Référence]]&amp;"",Tbl_Catalogue[],3,FALSE)=0,"-",VLOOKUP(Tbl_Donnees[[#This Row],[Référence]]&amp;"",Tbl_Catalogue[],3,FALSE)),"-")</f>
        <v>CONTACTEUR PUISSANCE</v>
      </c>
      <c r="E156" s="6">
        <v>2</v>
      </c>
      <c r="F156" s="6" t="str">
        <f>IFERROR(IF(VLOOKUP(Tbl_Donnees[[#This Row],[Référence]]&amp;"",Tbl_Catalogue[],2,FALSE)=0,"-",VLOOKUP(Tbl_Donnees[[#This Row],[Référence]]&amp;"",Tbl_Catalogue[],2,FALSE)),"-")</f>
        <v>SIEMENS</v>
      </c>
      <c r="G156" s="20" t="s">
        <v>54</v>
      </c>
      <c r="H156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156" s="2" t="str">
        <f>IFERROR(IF(VLOOKUP(Tbl_Donnees[[#This Row],[Référence]]&amp;"",Tbl_Catalogue[],5,FALSE)=0,"-",VLOOKUP(Tbl_Donnees[[#This Row],[Référence]]&amp;"",Tbl_Catalogue[],5,FALSE)),"INCONNU")</f>
        <v>OBSOLETE</v>
      </c>
      <c r="J156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https://sieportal.siemens.com/fr-fr/products-services/detail/3rt1016-1bb41?tree=CatalogTree</v>
      </c>
      <c r="K156" s="2" t="str">
        <f>IFERROR(IF(VLOOKUP(Tbl_Donnees[[#This Row],[Référence]]&amp;"",Tbl_Catalogue[],7,FALSE)=0,"-",VLOOKUP(Tbl_Donnees[[#This Row],[Référence]]&amp;"",Tbl_Catalogue[],7,FALSE)),"-")</f>
        <v>OUI</v>
      </c>
      <c r="L156" s="5" t="str">
        <f>IFERROR(IF(VLOOKUP(Tbl_Donnees[[#This Row],[Référence]]&amp;"",Tbl_Catalogue[],10,FALSE)=0,"-",VLOOKUP(Tbl_Donnees[[#This Row],[Référence]]&amp;"",Tbl_Catalogue[],10,FALSE)),"-")</f>
        <v>-</v>
      </c>
      <c r="M156" s="2" t="str">
        <f>IFERROR(IF(VLOOKUP(Tbl_Donnees[[#This Row],[Référence]]&amp;"",Tbl_Catalogue[],8,FALSE)=0,"-",VLOOKUP(Tbl_Donnees[[#This Row],[Référence]]&amp;"",Tbl_Catalogue[],8,FALSE)),"-")</f>
        <v>3RT2016-1BB41</v>
      </c>
      <c r="N156" s="5" t="str">
        <f>IFERROR(IF(VLOOKUP(Tbl_Donnees[[#This Row],[Référence]]&amp;"",Tbl_Catalogue[],9,FALSE)=0,"-",VLOOKUP(Tbl_Donnees[[#This Row],[Référence]]&amp;"",Tbl_Catalogue[],9,FALSE)),"-")</f>
        <v>SIEMENS</v>
      </c>
      <c r="O156" s="5" t="str">
        <f>IFERROR(IF(VLOOKUP(Tbl_Donnees[[#This Row],[Référence]]&amp;"",Tbl_Catalogue[],11,FALSE)=0,"-",VLOOKUP(Tbl_Donnees[[#This Row],[Référence]]&amp;"",Tbl_Catalogue[],11,FALSE)),"-")</f>
        <v>-</v>
      </c>
      <c r="P156" s="2" t="str">
        <f>IFERROR(IF(VLOOKUP(Tbl_Donnees[[#This Row],[Référence]]&amp;"",Tbl_Catalogue[],12,FALSE)=0,"-",VLOOKUP(Tbl_Donnees[[#This Row],[Référence]]&amp;"",Tbl_Catalogue[],12,FALSE)),"-")</f>
        <v>ACTIF</v>
      </c>
      <c r="Q156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https://sieportal.siemens.com/fr-fr/products-services/detail/3RT2016-1BB41?tree=CatalogTree</v>
      </c>
      <c r="R156" s="2"/>
    </row>
    <row r="157" spans="1:18" x14ac:dyDescent="0.2">
      <c r="A157" s="2" t="s">
        <v>357</v>
      </c>
      <c r="B157" s="5" t="s">
        <v>41</v>
      </c>
      <c r="C157" s="5" t="s">
        <v>60</v>
      </c>
      <c r="D157" s="6" t="str">
        <f>IFERROR(IF(VLOOKUP(Tbl_Donnees[[#This Row],[Référence]]&amp;"",Tbl_Catalogue[],3,FALSE)=0,"-",VLOOKUP(Tbl_Donnees[[#This Row],[Référence]]&amp;"",Tbl_Catalogue[],3,FALSE)),"-")</f>
        <v>BLOC SECURITE 3TK2804</v>
      </c>
      <c r="E157" s="6">
        <v>1</v>
      </c>
      <c r="F157" s="6" t="str">
        <f>IFERROR(IF(VLOOKUP(Tbl_Donnees[[#This Row],[Référence]]&amp;"",Tbl_Catalogue[],2,FALSE)=0,"-",VLOOKUP(Tbl_Donnees[[#This Row],[Référence]]&amp;"",Tbl_Catalogue[],2,FALSE)),"-")</f>
        <v>SIEMENS</v>
      </c>
      <c r="G157" s="20" t="s">
        <v>34</v>
      </c>
      <c r="H157" s="6" t="str">
        <f>IFERROR(IF(VLOOKUP(Tbl_Donnees[[#This Row],[Référence]]&amp;"",Tbl_Catalogue[],4,FALSE)=0,"-",VLOOKUP(Tbl_Donnees[[#This Row],[Référence]]&amp;"",Tbl_Catalogue[],4,FALSE)),"-")</f>
        <v>Fin de vie du produit (31/12/2011)</v>
      </c>
      <c r="I157" s="2" t="str">
        <f>IFERROR(IF(VLOOKUP(Tbl_Donnees[[#This Row],[Référence]]&amp;"",Tbl_Catalogue[],5,FALSE)=0,"-",VLOOKUP(Tbl_Donnees[[#This Row],[Référence]]&amp;"",Tbl_Catalogue[],5,FALSE)),"INCONNU")</f>
        <v>OBSOLETE</v>
      </c>
      <c r="J157" s="3" t="str">
        <f>IFERROR(IF(VLOOKUP(Tbl_Donnees[[#This Row],[Référence]]&amp;"",Tbl_Catalogue[],6,FALSE)=0,"-",VLOOKUP(Tbl_Donnees[[#This Row],[Référence]]&amp;"",Tbl_Catalogue[],6,FALSE)),"-")</f>
        <v>https://sieportal.siemens.com/fr-ww/products-services/detail/3TK2804-0BB4?tree=CatalogTree</v>
      </c>
      <c r="K157" s="2" t="str">
        <f>IFERROR(IF(VLOOKUP(Tbl_Donnees[[#This Row],[Référence]]&amp;"",Tbl_Catalogue[],7,FALSE)=0,"-",VLOOKUP(Tbl_Donnees[[#This Row],[Référence]]&amp;"",Tbl_Catalogue[],7,FALSE)),"-")</f>
        <v>NON</v>
      </c>
      <c r="L157" s="5" t="str">
        <f>IFERROR(IF(VLOOKUP(Tbl_Donnees[[#This Row],[Référence]]&amp;"",Tbl_Catalogue[],10,FALSE)=0,"-",VLOOKUP(Tbl_Donnees[[#This Row],[Référence]]&amp;"",Tbl_Catalogue[],10,FALSE)),"-")</f>
        <v>-</v>
      </c>
      <c r="M157" s="2" t="str">
        <f>IFERROR(IF(VLOOKUP(Tbl_Donnees[[#This Row],[Référence]]&amp;"",Tbl_Catalogue[],8,FALSE)=0,"-",VLOOKUP(Tbl_Donnees[[#This Row],[Référence]]&amp;"",Tbl_Catalogue[],8,FALSE)),"-")</f>
        <v>-</v>
      </c>
      <c r="N157" s="5" t="str">
        <f>IFERROR(IF(VLOOKUP(Tbl_Donnees[[#This Row],[Référence]]&amp;"",Tbl_Catalogue[],9,FALSE)=0,"-",VLOOKUP(Tbl_Donnees[[#This Row],[Référence]]&amp;"",Tbl_Catalogue[],9,FALSE)),"-")</f>
        <v>-</v>
      </c>
      <c r="O157" s="5" t="str">
        <f>IFERROR(IF(VLOOKUP(Tbl_Donnees[[#This Row],[Référence]]&amp;"",Tbl_Catalogue[],11,FALSE)=0,"-",VLOOKUP(Tbl_Donnees[[#This Row],[Référence]]&amp;"",Tbl_Catalogue[],11,FALSE)),"-")</f>
        <v>-</v>
      </c>
      <c r="P157" s="2" t="str">
        <f>IFERROR(IF(VLOOKUP(Tbl_Donnees[[#This Row],[Référence]]&amp;"",Tbl_Catalogue[],12,FALSE)=0,"-",VLOOKUP(Tbl_Donnees[[#This Row],[Référence]]&amp;"",Tbl_Catalogue[],12,FALSE)),"-")</f>
        <v>-</v>
      </c>
      <c r="Q157" s="13" t="str">
        <f>IFERROR(IF(VLOOKUP(Tbl_Donnees[[#This Row],[Référence]]&amp;"",Tbl_Catalogue[],13,FALSE)=0,"-",VLOOKUP(Tbl_Donnees[[#This Row],[Référence]]&amp;"",Tbl_Catalogue[],13,FALSE)),"-")</f>
        <v>-</v>
      </c>
      <c r="R157" s="5"/>
    </row>
    <row r="158" spans="1:18" x14ac:dyDescent="0.2">
      <c r="A158" s="2" t="s">
        <v>357</v>
      </c>
      <c r="B158" s="5" t="s">
        <v>41</v>
      </c>
      <c r="C158" s="5" t="s">
        <v>60</v>
      </c>
      <c r="D158" s="6" t="str">
        <f>IFERROR(IF(VLOOKUP(Tbl_Donnees[[#This Row],[Référence]]&amp;"",Tbl_Catalogue[],3,FALSE)=0,"-",VLOOKUP(Tbl_Donnees[[#This Row],[Référence]]&amp;"",Tbl_Catalogue[],3,FALSE)),"-")</f>
        <v>PLC S7-300 CPU 315</v>
      </c>
      <c r="E158" s="6">
        <v>1</v>
      </c>
      <c r="F158" s="6" t="str">
        <f>IFERROR(IF(VLOOKUP(Tbl_Donnees[[#This Row],[Référence]]&amp;"",Tbl_Catalogue[],2,FALSE)=0,"-",VLOOKUP(Tbl_Donnees[[#This Row],[Référence]]&amp;"",Tbl_Catalogue[],2,FALSE)),"-")</f>
        <v>SIEMENS</v>
      </c>
      <c r="G158" s="20" t="s">
        <v>42</v>
      </c>
      <c r="H158" s="6" t="str">
        <f>IFERROR(IF(VLOOKUP(Tbl_Donnees[[#This Row],[Référence]]&amp;"",Tbl_Catalogue[],4,FALSE)=0,"-",VLOOKUP(Tbl_Donnees[[#This Row],[Référence]]&amp;"",Tbl_Catalogue[],4,FALSE)),"-")</f>
        <v>Fin de vie du produit (01/10/2016)</v>
      </c>
      <c r="I158" s="2" t="str">
        <f>IFERROR(IF(VLOOKUP(Tbl_Donnees[[#This Row],[Référence]]&amp;"",Tbl_Catalogue[],5,FALSE)=0,"-",VLOOKUP(Tbl_Donnees[[#This Row],[Référence]]&amp;"",Tbl_Catalogue[],5,FALSE)),"INCONNU")</f>
        <v>OBSOLETE</v>
      </c>
      <c r="J158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https://sieportal.siemens.com/fr-fr/products-services/detail/6ES7315-1AF03-0AB0?tree=CatalogTree</v>
      </c>
      <c r="K158" s="2" t="str">
        <f>IFERROR(IF(VLOOKUP(Tbl_Donnees[[#This Row],[Référence]]&amp;"",Tbl_Catalogue[],7,FALSE)=0,"-",VLOOKUP(Tbl_Donnees[[#This Row],[Référence]]&amp;"",Tbl_Catalogue[],7,FALSE)),"-")</f>
        <v>NON</v>
      </c>
      <c r="L158" s="5" t="str">
        <f>IFERROR(IF(VLOOKUP(Tbl_Donnees[[#This Row],[Référence]]&amp;"",Tbl_Catalogue[],10,FALSE)=0,"-",VLOOKUP(Tbl_Donnees[[#This Row],[Référence]]&amp;"",Tbl_Catalogue[],10,FALSE)),"-")</f>
        <v>-</v>
      </c>
      <c r="M158" s="2" t="str">
        <f>IFERROR(IF(VLOOKUP(Tbl_Donnees[[#This Row],[Référence]]&amp;"",Tbl_Catalogue[],8,FALSE)=0,"-",VLOOKUP(Tbl_Donnees[[#This Row],[Référence]]&amp;"",Tbl_Catalogue[],8,FALSE)),"-")</f>
        <v>-</v>
      </c>
      <c r="N158" s="5" t="str">
        <f>IFERROR(IF(VLOOKUP(Tbl_Donnees[[#This Row],[Référence]]&amp;"",Tbl_Catalogue[],9,FALSE)=0,"-",VLOOKUP(Tbl_Donnees[[#This Row],[Référence]]&amp;"",Tbl_Catalogue[],9,FALSE)),"-")</f>
        <v>-</v>
      </c>
      <c r="O158" s="5" t="str">
        <f>IFERROR(IF(VLOOKUP(Tbl_Donnees[[#This Row],[Référence]]&amp;"",Tbl_Catalogue[],11,FALSE)=0,"-",VLOOKUP(Tbl_Donnees[[#This Row],[Référence]]&amp;"",Tbl_Catalogue[],11,FALSE)),"-")</f>
        <v>-</v>
      </c>
      <c r="P158" s="2" t="str">
        <f>IFERROR(IF(VLOOKUP(Tbl_Donnees[[#This Row],[Référence]]&amp;"",Tbl_Catalogue[],12,FALSE)=0,"-",VLOOKUP(Tbl_Donnees[[#This Row],[Référence]]&amp;"",Tbl_Catalogue[],12,FALSE)),"-")</f>
        <v>-</v>
      </c>
      <c r="Q158" s="13" t="str">
        <f>IFERROR(IF(VLOOKUP(Tbl_Donnees[[#This Row],[Référence]]&amp;"",Tbl_Catalogue[],13,FALSE)=0,"-",VLOOKUP(Tbl_Donnees[[#This Row],[Référence]]&amp;"",Tbl_Catalogue[],13,FALSE)),"-")</f>
        <v>-</v>
      </c>
      <c r="R158" s="2"/>
    </row>
    <row r="159" spans="1:18" x14ac:dyDescent="0.2">
      <c r="A159" s="2" t="s">
        <v>357</v>
      </c>
      <c r="B159" s="5" t="s">
        <v>41</v>
      </c>
      <c r="C159" s="5" t="s">
        <v>60</v>
      </c>
      <c r="D159" s="6" t="str">
        <f>IFERROR(IF(VLOOKUP(Tbl_Donnees[[#This Row],[Référence]]&amp;"",Tbl_Catalogue[],3,FALSE)=0,"-",VLOOKUP(Tbl_Donnees[[#This Row],[Référence]]&amp;"",Tbl_Catalogue[],3,FALSE)),"-")</f>
        <v>MOD. COMPTAGE FM 350-1</v>
      </c>
      <c r="E159" s="6">
        <v>1</v>
      </c>
      <c r="F159" s="6" t="str">
        <f>IFERROR(IF(VLOOKUP(Tbl_Donnees[[#This Row],[Référence]]&amp;"",Tbl_Catalogue[],2,FALSE)=0,"-",VLOOKUP(Tbl_Donnees[[#This Row],[Référence]]&amp;"",Tbl_Catalogue[],2,FALSE)),"-")</f>
        <v>SIEMENS</v>
      </c>
      <c r="G159" s="20" t="s">
        <v>622</v>
      </c>
      <c r="H159" s="6" t="str">
        <f>IFERROR(IF(VLOOKUP(Tbl_Donnees[[#This Row],[Référence]]&amp;"",Tbl_Catalogue[],4,FALSE)=0,"-",VLOOKUP(Tbl_Donnees[[#This Row],[Référence]]&amp;"",Tbl_Catalogue[],4,FALSE)),"-")</f>
        <v>Fin de vie du produit (01/10/2013)</v>
      </c>
      <c r="I159" s="2" t="str">
        <f>IFERROR(IF(VLOOKUP(Tbl_Donnees[[#This Row],[Référence]]&amp;"",Tbl_Catalogue[],5,FALSE)=0,"-",VLOOKUP(Tbl_Donnees[[#This Row],[Référence]]&amp;"",Tbl_Catalogue[],5,FALSE)),"INCONNU")</f>
        <v>OBSOLETE</v>
      </c>
      <c r="J15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https://sieportal.siemens.com/fr-fr/products-services/detail/6ES7350-1AH01-0AE0?tree=CatalogTree</v>
      </c>
      <c r="K159" s="2" t="str">
        <f>IFERROR(IF(VLOOKUP(Tbl_Donnees[[#This Row],[Référence]]&amp;"",Tbl_Catalogue[],7,FALSE)=0,"-",VLOOKUP(Tbl_Donnees[[#This Row],[Référence]]&amp;"",Tbl_Catalogue[],7,FALSE)),"-")</f>
        <v>OUI</v>
      </c>
      <c r="L159" s="5" t="str">
        <f>IFERROR(IF(VLOOKUP(Tbl_Donnees[[#This Row],[Référence]]&amp;"",Tbl_Catalogue[],10,FALSE)=0,"-",VLOOKUP(Tbl_Donnees[[#This Row],[Référence]]&amp;"",Tbl_Catalogue[],10,FALSE)),"-")</f>
        <v>-</v>
      </c>
      <c r="M159" s="2" t="str">
        <f>IFERROR(IF(VLOOKUP(Tbl_Donnees[[#This Row],[Référence]]&amp;"",Tbl_Catalogue[],8,FALSE)=0,"-",VLOOKUP(Tbl_Donnees[[#This Row],[Référence]]&amp;"",Tbl_Catalogue[],8,FALSE)),"-")</f>
        <v>6ES7350-1AH03-0AE0</v>
      </c>
      <c r="N159" s="5" t="str">
        <f>IFERROR(IF(VLOOKUP(Tbl_Donnees[[#This Row],[Référence]]&amp;"",Tbl_Catalogue[],9,FALSE)=0,"-",VLOOKUP(Tbl_Donnees[[#This Row],[Référence]]&amp;"",Tbl_Catalogue[],9,FALSE)),"-")</f>
        <v>SIEMENS</v>
      </c>
      <c r="O159" s="5" t="str">
        <f>IFERROR(IF(VLOOKUP(Tbl_Donnees[[#This Row],[Référence]]&amp;"",Tbl_Catalogue[],11,FALSE)=0,"-",VLOOKUP(Tbl_Donnees[[#This Row],[Référence]]&amp;"",Tbl_Catalogue[],11,FALSE)),"-")</f>
        <v>-</v>
      </c>
      <c r="P159" s="2" t="str">
        <f>IFERROR(IF(VLOOKUP(Tbl_Donnees[[#This Row],[Référence]]&amp;"",Tbl_Catalogue[],12,FALSE)=0,"-",VLOOKUP(Tbl_Donnees[[#This Row],[Référence]]&amp;"",Tbl_Catalogue[],12,FALSE)),"-")</f>
        <v>RECHANGE</v>
      </c>
      <c r="Q159" s="13" t="str">
        <f>IFERROR(IF(VLOOKUP(Tbl_Donnees[[#This Row],[Référence]]&amp;"",Tbl_Catalogue[],13,FALSE)=0,"-",VLOOKUP(Tbl_Donnees[[#This Row],[Référence]]&amp;"",Tbl_Catalogue[],13,FALSE)),"-")</f>
        <v>-</v>
      </c>
      <c r="R159" s="5"/>
    </row>
    <row r="160" spans="1:18" x14ac:dyDescent="0.2">
      <c r="A160" s="2" t="s">
        <v>357</v>
      </c>
      <c r="B160" s="5" t="s">
        <v>41</v>
      </c>
      <c r="C160" s="5" t="s">
        <v>60</v>
      </c>
      <c r="D160" s="6" t="str">
        <f>IFERROR(IF(VLOOKUP(Tbl_Donnees[[#This Row],[Référence]]&amp;"",Tbl_Catalogue[],3,FALSE)=0,"-",VLOOKUP(Tbl_Donnees[[#This Row],[Référence]]&amp;"",Tbl_Catalogue[],3,FALSE)),"-")</f>
        <v>MOT. ASYNCHRONE TRIPHASE</v>
      </c>
      <c r="E160" s="6">
        <v>1</v>
      </c>
      <c r="F160" s="6" t="str">
        <f>IFERROR(IF(VLOOKUP(Tbl_Donnees[[#This Row],[Référence]]&amp;"",Tbl_Catalogue[],2,FALSE)=0,"-",VLOOKUP(Tbl_Donnees[[#This Row],[Référence]]&amp;"",Tbl_Catalogue[],2,FALSE)),"-")</f>
        <v>ROGNONI</v>
      </c>
      <c r="G160" s="20" t="s">
        <v>49</v>
      </c>
      <c r="H160" s="6" t="str">
        <f>IFERROR(IF(VLOOKUP(Tbl_Donnees[[#This Row],[Référence]]&amp;"",Tbl_Catalogue[],4,FALSE)=0,"-",VLOOKUP(Tbl_Donnees[[#This Row],[Référence]]&amp;"",Tbl_Catalogue[],4,FALSE)),"-")</f>
        <v>Obsolète</v>
      </c>
      <c r="I160" s="2" t="str">
        <f>IFERROR(IF(VLOOKUP(Tbl_Donnees[[#This Row],[Référence]]&amp;"",Tbl_Catalogue[],5,FALSE)=0,"-",VLOOKUP(Tbl_Donnees[[#This Row],[Référence]]&amp;"",Tbl_Catalogue[],5,FALSE)),"INCONNU")</f>
        <v>OBSOLETE</v>
      </c>
      <c r="J160" s="3" t="str">
        <f>IFERROR(IF(VLOOKUP(Tbl_Donnees[[#This Row],[Référence]]&amp;"",Tbl_Catalogue[],6,FALSE)=0,"-",VLOOKUP(Tbl_Donnees[[#This Row],[Référence]]&amp;"",Tbl_Catalogue[],6,FALSE)),"-")</f>
        <v>-</v>
      </c>
      <c r="K160" s="2" t="str">
        <f>IFERROR(IF(VLOOKUP(Tbl_Donnees[[#This Row],[Référence]]&amp;"",Tbl_Catalogue[],7,FALSE)=0,"-",VLOOKUP(Tbl_Donnees[[#This Row],[Référence]]&amp;"",Tbl_Catalogue[],7,FALSE)),"-")</f>
        <v>INCONNU</v>
      </c>
      <c r="L160" s="5" t="str">
        <f>IFERROR(IF(VLOOKUP(Tbl_Donnees[[#This Row],[Référence]]&amp;"",Tbl_Catalogue[],10,FALSE)=0,"-",VLOOKUP(Tbl_Donnees[[#This Row],[Référence]]&amp;"",Tbl_Catalogue[],10,FALSE)),"-")</f>
        <v>-</v>
      </c>
      <c r="M160" s="2" t="str">
        <f>IFERROR(IF(VLOOKUP(Tbl_Donnees[[#This Row],[Référence]]&amp;"",Tbl_Catalogue[],8,FALSE)=0,"-",VLOOKUP(Tbl_Donnees[[#This Row],[Référence]]&amp;"",Tbl_Catalogue[],8,FALSE)),"-")</f>
        <v>-</v>
      </c>
      <c r="N160" s="5" t="str">
        <f>IFERROR(IF(VLOOKUP(Tbl_Donnees[[#This Row],[Référence]]&amp;"",Tbl_Catalogue[],9,FALSE)=0,"-",VLOOKUP(Tbl_Donnees[[#This Row],[Référence]]&amp;"",Tbl_Catalogue[],9,FALSE)),"-")</f>
        <v>-</v>
      </c>
      <c r="O160" s="5" t="str">
        <f>IFERROR(IF(VLOOKUP(Tbl_Donnees[[#This Row],[Référence]]&amp;"",Tbl_Catalogue[],11,FALSE)=0,"-",VLOOKUP(Tbl_Donnees[[#This Row],[Référence]]&amp;"",Tbl_Catalogue[],11,FALSE)),"-")</f>
        <v>-</v>
      </c>
      <c r="P160" s="2" t="str">
        <f>IFERROR(IF(VLOOKUP(Tbl_Donnees[[#This Row],[Référence]]&amp;"",Tbl_Catalogue[],12,FALSE)=0,"-",VLOOKUP(Tbl_Donnees[[#This Row],[Référence]]&amp;"",Tbl_Catalogue[],12,FALSE)),"-")</f>
        <v>-</v>
      </c>
      <c r="Q160" s="13" t="str">
        <f>IFERROR(IF(VLOOKUP(Tbl_Donnees[[#This Row],[Référence]]&amp;"",Tbl_Catalogue[],13,FALSE)=0,"-",VLOOKUP(Tbl_Donnees[[#This Row],[Référence]]&amp;"",Tbl_Catalogue[],13,FALSE)),"-")</f>
        <v>-</v>
      </c>
      <c r="R160" s="2"/>
    </row>
    <row r="161" spans="1:18" x14ac:dyDescent="0.2">
      <c r="A161" s="2" t="s">
        <v>357</v>
      </c>
      <c r="B161" s="5" t="s">
        <v>41</v>
      </c>
      <c r="C161" s="5" t="s">
        <v>60</v>
      </c>
      <c r="D161" s="6" t="str">
        <f>IFERROR(IF(VLOOKUP(Tbl_Donnees[[#This Row],[Référence]]&amp;"",Tbl_Catalogue[],3,FALSE)=0,"-",VLOOKUP(Tbl_Donnees[[#This Row],[Référence]]&amp;"",Tbl_Catalogue[],3,FALSE)),"-")</f>
        <v>CARTE AMPLI. NUM. HYDRAU.</v>
      </c>
      <c r="E161" s="6">
        <v>1</v>
      </c>
      <c r="F161" s="6" t="str">
        <f>IFERROR(IF(VLOOKUP(Tbl_Donnees[[#This Row],[Référence]]&amp;"",Tbl_Catalogue[],2,FALSE)=0,"-",VLOOKUP(Tbl_Donnees[[#This Row],[Référence]]&amp;"",Tbl_Catalogue[],2,FALSE)),"-")</f>
        <v>REXROTH HYDRAULICS</v>
      </c>
      <c r="G161" s="20" t="s">
        <v>627</v>
      </c>
      <c r="H161" s="6" t="str">
        <f>IFERROR(IF(VLOOKUP(Tbl_Donnees[[#This Row],[Référence]]&amp;"",Tbl_Catalogue[],4,FALSE)=0,"-",VLOOKUP(Tbl_Donnees[[#This Row],[Référence]]&amp;"",Tbl_Catalogue[],4,FALSE)),"-")</f>
        <v>Produit en fin de vie</v>
      </c>
      <c r="I161" s="2" t="str">
        <f>IFERROR(IF(VLOOKUP(Tbl_Donnees[[#This Row],[Référence]]&amp;"",Tbl_Catalogue[],5,FALSE)=0,"-",VLOOKUP(Tbl_Donnees[[#This Row],[Référence]]&amp;"",Tbl_Catalogue[],5,FALSE)),"INCONNU")</f>
        <v>OBSOLETE</v>
      </c>
      <c r="J161" s="3" t="str">
        <f>IFERROR(IF(VLOOKUP(Tbl_Donnees[[#This Row],[Référence]]&amp;"",Tbl_Catalogue[],6,FALSE)=0,"-",VLOOKUP(Tbl_Donnees[[#This Row],[Référence]]&amp;"",Tbl_Catalogue[],6,FALSE)),"-")</f>
        <v>https://store.boschrexroth.com/fr/fr/p/r900782310</v>
      </c>
      <c r="K161" s="2" t="str">
        <f>IFERROR(IF(VLOOKUP(Tbl_Donnees[[#This Row],[Référence]]&amp;"",Tbl_Catalogue[],7,FALSE)=0,"-",VLOOKUP(Tbl_Donnees[[#This Row],[Référence]]&amp;"",Tbl_Catalogue[],7,FALSE)),"-")</f>
        <v>INCONNU</v>
      </c>
      <c r="L161" s="5" t="str">
        <f>IFERROR(IF(VLOOKUP(Tbl_Donnees[[#This Row],[Référence]]&amp;"",Tbl_Catalogue[],10,FALSE)=0,"-",VLOOKUP(Tbl_Donnees[[#This Row],[Référence]]&amp;"",Tbl_Catalogue[],10,FALSE)),"-")</f>
        <v>-</v>
      </c>
      <c r="M161" s="2" t="str">
        <f>IFERROR(IF(VLOOKUP(Tbl_Donnees[[#This Row],[Référence]]&amp;"",Tbl_Catalogue[],8,FALSE)=0,"-",VLOOKUP(Tbl_Donnees[[#This Row],[Référence]]&amp;"",Tbl_Catalogue[],8,FALSE)),"-")</f>
        <v>-</v>
      </c>
      <c r="N161" s="5" t="str">
        <f>IFERROR(IF(VLOOKUP(Tbl_Donnees[[#This Row],[Référence]]&amp;"",Tbl_Catalogue[],9,FALSE)=0,"-",VLOOKUP(Tbl_Donnees[[#This Row],[Référence]]&amp;"",Tbl_Catalogue[],9,FALSE)),"-")</f>
        <v>-</v>
      </c>
      <c r="O161" s="5" t="str">
        <f>IFERROR(IF(VLOOKUP(Tbl_Donnees[[#This Row],[Référence]]&amp;"",Tbl_Catalogue[],11,FALSE)=0,"-",VLOOKUP(Tbl_Donnees[[#This Row],[Référence]]&amp;"",Tbl_Catalogue[],11,FALSE)),"-")</f>
        <v>-</v>
      </c>
      <c r="P161" s="2" t="str">
        <f>IFERROR(IF(VLOOKUP(Tbl_Donnees[[#This Row],[Référence]]&amp;"",Tbl_Catalogue[],12,FALSE)=0,"-",VLOOKUP(Tbl_Donnees[[#This Row],[Référence]]&amp;"",Tbl_Catalogue[],12,FALSE)),"-")</f>
        <v>-</v>
      </c>
      <c r="Q161" s="13" t="str">
        <f>IFERROR(IF(VLOOKUP(Tbl_Donnees[[#This Row],[Référence]]&amp;"",Tbl_Catalogue[],13,FALSE)=0,"-",VLOOKUP(Tbl_Donnees[[#This Row],[Référence]]&amp;"",Tbl_Catalogue[],13,FALSE)),"-")</f>
        <v>-</v>
      </c>
      <c r="R161" s="5"/>
    </row>
    <row r="162" spans="1:18" x14ac:dyDescent="0.2">
      <c r="A162" s="2" t="s">
        <v>357</v>
      </c>
      <c r="B162" s="5" t="s">
        <v>41</v>
      </c>
      <c r="C162" s="5" t="s">
        <v>60</v>
      </c>
      <c r="D162" s="6" t="str">
        <f>IFERROR(IF(VLOOKUP(Tbl_Donnees[[#This Row],[Référence]]&amp;"",Tbl_Catalogue[],3,FALSE)=0,"-",VLOOKUP(Tbl_Donnees[[#This Row],[Référence]]&amp;"",Tbl_Catalogue[],3,FALSE)),"-")</f>
        <v xml:space="preserve">CONNECTEUR EV FORME A </v>
      </c>
      <c r="E162" s="6">
        <v>6</v>
      </c>
      <c r="F162" s="6" t="str">
        <f>IFERROR(IF(VLOOKUP(Tbl_Donnees[[#This Row],[Référence]]&amp;"",Tbl_Catalogue[],2,FALSE)=0,"-",VLOOKUP(Tbl_Donnees[[#This Row],[Référence]]&amp;"",Tbl_Catalogue[],2,FALSE)),"-")</f>
        <v>MURR ELEKTRONIK</v>
      </c>
      <c r="G162" s="20" t="s">
        <v>479</v>
      </c>
      <c r="H162" s="6" t="str">
        <f>IFERROR(IF(VLOOKUP(Tbl_Donnees[[#This Row],[Référence]]&amp;"",Tbl_Catalogue[],4,FALSE)=0,"-",VLOOKUP(Tbl_Donnees[[#This Row],[Référence]]&amp;"",Tbl_Catalogue[],4,FALSE)),"-")</f>
        <v>Produit Actif</v>
      </c>
      <c r="I162" s="2" t="str">
        <f>IFERROR(IF(VLOOKUP(Tbl_Donnees[[#This Row],[Référence]]&amp;"",Tbl_Catalogue[],5,FALSE)=0,"-",VLOOKUP(Tbl_Donnees[[#This Row],[Référence]]&amp;"",Tbl_Catalogue[],5,FALSE)),"INCONNU")</f>
        <v>ACTIF</v>
      </c>
      <c r="J162" s="3" t="str">
        <f>IFERROR(IF(VLOOKUP(Tbl_Donnees[[#This Row],[Référence]]&amp;"",Tbl_Catalogue[],6,FALSE)=0,"-",VLOOKUP(Tbl_Donnees[[#This Row],[Référence]]&amp;"",Tbl_Catalogue[],6,FALSE)),"-")</f>
        <v>https://shop.murrelektronik.fr/fr/Technologie-de-Connexion/Connecteur-d-lectrovannes/Avec-extr-mit-de-c-ble-libre/Connecteur-EV-forme-A-18mm-avec-c-ble-7000-18141-6280150.html</v>
      </c>
      <c r="K162" s="2" t="str">
        <f>IFERROR(IF(VLOOKUP(Tbl_Donnees[[#This Row],[Référence]]&amp;"",Tbl_Catalogue[],7,FALSE)=0,"-",VLOOKUP(Tbl_Donnees[[#This Row],[Référence]]&amp;"",Tbl_Catalogue[],7,FALSE)),"-")</f>
        <v>-</v>
      </c>
      <c r="L162" s="5" t="str">
        <f>IFERROR(IF(VLOOKUP(Tbl_Donnees[[#This Row],[Référence]]&amp;"",Tbl_Catalogue[],10,FALSE)=0,"-",VLOOKUP(Tbl_Donnees[[#This Row],[Référence]]&amp;"",Tbl_Catalogue[],10,FALSE)),"-")</f>
        <v>-</v>
      </c>
      <c r="M162" s="2" t="str">
        <f>IFERROR(IF(VLOOKUP(Tbl_Donnees[[#This Row],[Référence]]&amp;"",Tbl_Catalogue[],8,FALSE)=0,"-",VLOOKUP(Tbl_Donnees[[#This Row],[Référence]]&amp;"",Tbl_Catalogue[],8,FALSE)),"-")</f>
        <v>-</v>
      </c>
      <c r="N162" s="5" t="str">
        <f>IFERROR(IF(VLOOKUP(Tbl_Donnees[[#This Row],[Référence]]&amp;"",Tbl_Catalogue[],9,FALSE)=0,"-",VLOOKUP(Tbl_Donnees[[#This Row],[Référence]]&amp;"",Tbl_Catalogue[],9,FALSE)),"-")</f>
        <v>-</v>
      </c>
      <c r="O162" s="5" t="str">
        <f>IFERROR(IF(VLOOKUP(Tbl_Donnees[[#This Row],[Référence]]&amp;"",Tbl_Catalogue[],11,FALSE)=0,"-",VLOOKUP(Tbl_Donnees[[#This Row],[Référence]]&amp;"",Tbl_Catalogue[],11,FALSE)),"-")</f>
        <v>-</v>
      </c>
      <c r="P162" s="2" t="str">
        <f>IFERROR(IF(VLOOKUP(Tbl_Donnees[[#This Row],[Référence]]&amp;"",Tbl_Catalogue[],12,FALSE)=0,"-",VLOOKUP(Tbl_Donnees[[#This Row],[Référence]]&amp;"",Tbl_Catalogue[],12,FALSE)),"-")</f>
        <v>-</v>
      </c>
      <c r="Q162" s="13" t="str">
        <f>IFERROR(IF(VLOOKUP(Tbl_Donnees[[#This Row],[Référence]]&amp;"",Tbl_Catalogue[],13,FALSE)=0,"-",VLOOKUP(Tbl_Donnees[[#This Row],[Référence]]&amp;"",Tbl_Catalogue[],13,FALSE)),"-")</f>
        <v>-</v>
      </c>
      <c r="R162" s="2"/>
    </row>
    <row r="163" spans="1:18" x14ac:dyDescent="0.2">
      <c r="A163" s="2" t="s">
        <v>357</v>
      </c>
      <c r="B163" s="5" t="s">
        <v>41</v>
      </c>
      <c r="C163" s="5" t="s">
        <v>60</v>
      </c>
      <c r="D163" s="6" t="str">
        <f>IFERROR(IF(VLOOKUP(Tbl_Donnees[[#This Row],[Référence]]&amp;"",Tbl_Catalogue[],3,FALSE)=0,"-",VLOOKUP(Tbl_Donnees[[#This Row],[Référence]]&amp;"",Tbl_Catalogue[],3,FALSE)),"-")</f>
        <v>COMPOSANT HYDRONORMA</v>
      </c>
      <c r="E163" s="6">
        <v>1</v>
      </c>
      <c r="F163" s="6" t="str">
        <f>IFERROR(IF(VLOOKUP(Tbl_Donnees[[#This Row],[Référence]]&amp;"",Tbl_Catalogue[],2,FALSE)=0,"-",VLOOKUP(Tbl_Donnees[[#This Row],[Référence]]&amp;"",Tbl_Catalogue[],2,FALSE)),"-")</f>
        <v>HYDRONORMA</v>
      </c>
      <c r="G163" s="20" t="s">
        <v>630</v>
      </c>
      <c r="H163" s="6" t="str">
        <f>IFERROR(IF(VLOOKUP(Tbl_Donnees[[#This Row],[Référence]]&amp;"",Tbl_Catalogue[],4,FALSE)=0,"-",VLOOKUP(Tbl_Donnees[[#This Row],[Référence]]&amp;"",Tbl_Catalogue[],4,FALSE)),"-")</f>
        <v>-</v>
      </c>
      <c r="I163" s="2" t="str">
        <f>IFERROR(IF(VLOOKUP(Tbl_Donnees[[#This Row],[Référence]]&amp;"",Tbl_Catalogue[],5,FALSE)=0,"-",VLOOKUP(Tbl_Donnees[[#This Row],[Référence]]&amp;"",Tbl_Catalogue[],5,FALSE)),"INCONNU")</f>
        <v>INCONNU</v>
      </c>
      <c r="J163" s="3" t="str">
        <f>IFERROR(IF(VLOOKUP(Tbl_Donnees[[#This Row],[Référence]]&amp;"",Tbl_Catalogue[],6,FALSE)=0,"-",VLOOKUP(Tbl_Donnees[[#This Row],[Référence]]&amp;"",Tbl_Catalogue[],6,FALSE)),"-")</f>
        <v>-</v>
      </c>
      <c r="K163" s="2" t="str">
        <f>IFERROR(IF(VLOOKUP(Tbl_Donnees[[#This Row],[Référence]]&amp;"",Tbl_Catalogue[],7,FALSE)=0,"-",VLOOKUP(Tbl_Donnees[[#This Row],[Référence]]&amp;"",Tbl_Catalogue[],7,FALSE)),"-")</f>
        <v>INCONNU</v>
      </c>
      <c r="L163" s="5" t="str">
        <f>IFERROR(IF(VLOOKUP(Tbl_Donnees[[#This Row],[Référence]]&amp;"",Tbl_Catalogue[],10,FALSE)=0,"-",VLOOKUP(Tbl_Donnees[[#This Row],[Référence]]&amp;"",Tbl_Catalogue[],10,FALSE)),"-")</f>
        <v>-</v>
      </c>
      <c r="M163" s="2" t="str">
        <f>IFERROR(IF(VLOOKUP(Tbl_Donnees[[#This Row],[Référence]]&amp;"",Tbl_Catalogue[],8,FALSE)=0,"-",VLOOKUP(Tbl_Donnees[[#This Row],[Référence]]&amp;"",Tbl_Catalogue[],8,FALSE)),"-")</f>
        <v>-</v>
      </c>
      <c r="N163" s="5" t="str">
        <f>IFERROR(IF(VLOOKUP(Tbl_Donnees[[#This Row],[Référence]]&amp;"",Tbl_Catalogue[],9,FALSE)=0,"-",VLOOKUP(Tbl_Donnees[[#This Row],[Référence]]&amp;"",Tbl_Catalogue[],9,FALSE)),"-")</f>
        <v>-</v>
      </c>
      <c r="O163" s="5" t="str">
        <f>IFERROR(IF(VLOOKUP(Tbl_Donnees[[#This Row],[Référence]]&amp;"",Tbl_Catalogue[],11,FALSE)=0,"-",VLOOKUP(Tbl_Donnees[[#This Row],[Référence]]&amp;"",Tbl_Catalogue[],11,FALSE)),"-")</f>
        <v>-</v>
      </c>
      <c r="P163" s="2" t="str">
        <f>IFERROR(IF(VLOOKUP(Tbl_Donnees[[#This Row],[Référence]]&amp;"",Tbl_Catalogue[],12,FALSE)=0,"-",VLOOKUP(Tbl_Donnees[[#This Row],[Référence]]&amp;"",Tbl_Catalogue[],12,FALSE)),"-")</f>
        <v>-</v>
      </c>
      <c r="Q163" s="13" t="str">
        <f>IFERROR(IF(VLOOKUP(Tbl_Donnees[[#This Row],[Référence]]&amp;"",Tbl_Catalogue[],13,FALSE)=0,"-",VLOOKUP(Tbl_Donnees[[#This Row],[Référence]]&amp;"",Tbl_Catalogue[],13,FALSE)),"-")</f>
        <v>-</v>
      </c>
      <c r="R163" s="5"/>
    </row>
    <row r="164" spans="1:18" x14ac:dyDescent="0.2">
      <c r="A164" s="2" t="s">
        <v>357</v>
      </c>
      <c r="B164" s="5" t="s">
        <v>41</v>
      </c>
      <c r="C164" s="5" t="s">
        <v>60</v>
      </c>
      <c r="D164" s="6" t="str">
        <f>IFERROR(IF(VLOOKUP(Tbl_Donnees[[#This Row],[Référence]]&amp;"",Tbl_Catalogue[],3,FALSE)=0,"-",VLOOKUP(Tbl_Donnees[[#This Row],[Référence]]&amp;"",Tbl_Catalogue[],3,FALSE)),"-")</f>
        <v xml:space="preserve">RELAIS STATIQUE </v>
      </c>
      <c r="E164" s="6">
        <v>8</v>
      </c>
      <c r="F164" s="6" t="str">
        <f>IFERROR(IF(VLOOKUP(Tbl_Donnees[[#This Row],[Référence]]&amp;"",Tbl_Catalogue[],2,FALSE)=0,"-",VLOOKUP(Tbl_Donnees[[#This Row],[Référence]]&amp;"",Tbl_Catalogue[],2,FALSE)),"-")</f>
        <v>ELCO SRL</v>
      </c>
      <c r="G164" s="20" t="s">
        <v>50</v>
      </c>
      <c r="H164" s="6" t="str">
        <f>IFERROR(IF(VLOOKUP(Tbl_Donnees[[#This Row],[Référence]]&amp;"",Tbl_Catalogue[],4,FALSE)=0,"-",VLOOKUP(Tbl_Donnees[[#This Row],[Référence]]&amp;"",Tbl_Catalogue[],4,FALSE)),"-")</f>
        <v>INCONNU</v>
      </c>
      <c r="I164" s="2" t="str">
        <f>IFERROR(IF(VLOOKUP(Tbl_Donnees[[#This Row],[Référence]]&amp;"",Tbl_Catalogue[],5,FALSE)=0,"-",VLOOKUP(Tbl_Donnees[[#This Row],[Référence]]&amp;"",Tbl_Catalogue[],5,FALSE)),"INCONNU")</f>
        <v>INCONNU</v>
      </c>
      <c r="J164" s="3" t="str">
        <f>IFERROR(IF(VLOOKUP(Tbl_Donnees[[#This Row],[Référence]]&amp;"",Tbl_Catalogue[],6,FALSE)=0,"-",VLOOKUP(Tbl_Donnees[[#This Row],[Référence]]&amp;"",Tbl_Catalogue[],6,FALSE)),"-")</f>
        <v>https://www.elco-italy.com/prodotti/ssr-91-series-solid-state-relays/</v>
      </c>
      <c r="K164" s="2" t="str">
        <f>IFERROR(IF(VLOOKUP(Tbl_Donnees[[#This Row],[Référence]]&amp;"",Tbl_Catalogue[],7,FALSE)=0,"-",VLOOKUP(Tbl_Donnees[[#This Row],[Référence]]&amp;"",Tbl_Catalogue[],7,FALSE)),"-")</f>
        <v>INCONNU</v>
      </c>
      <c r="L164" s="5" t="str">
        <f>IFERROR(IF(VLOOKUP(Tbl_Donnees[[#This Row],[Référence]]&amp;"",Tbl_Catalogue[],10,FALSE)=0,"-",VLOOKUP(Tbl_Donnees[[#This Row],[Référence]]&amp;"",Tbl_Catalogue[],10,FALSE)),"-")</f>
        <v>-</v>
      </c>
      <c r="M164" s="2" t="str">
        <f>IFERROR(IF(VLOOKUP(Tbl_Donnees[[#This Row],[Référence]]&amp;"",Tbl_Catalogue[],8,FALSE)=0,"-",VLOOKUP(Tbl_Donnees[[#This Row],[Référence]]&amp;"",Tbl_Catalogue[],8,FALSE)),"-")</f>
        <v>-</v>
      </c>
      <c r="N164" s="5" t="str">
        <f>IFERROR(IF(VLOOKUP(Tbl_Donnees[[#This Row],[Référence]]&amp;"",Tbl_Catalogue[],9,FALSE)=0,"-",VLOOKUP(Tbl_Donnees[[#This Row],[Référence]]&amp;"",Tbl_Catalogue[],9,FALSE)),"-")</f>
        <v>-</v>
      </c>
      <c r="O164" s="5" t="str">
        <f>IFERROR(IF(VLOOKUP(Tbl_Donnees[[#This Row],[Référence]]&amp;"",Tbl_Catalogue[],11,FALSE)=0,"-",VLOOKUP(Tbl_Donnees[[#This Row],[Référence]]&amp;"",Tbl_Catalogue[],11,FALSE)),"-")</f>
        <v>-</v>
      </c>
      <c r="P164" s="2" t="str">
        <f>IFERROR(IF(VLOOKUP(Tbl_Donnees[[#This Row],[Référence]]&amp;"",Tbl_Catalogue[],12,FALSE)=0,"-",VLOOKUP(Tbl_Donnees[[#This Row],[Référence]]&amp;"",Tbl_Catalogue[],12,FALSE)),"-")</f>
        <v>-</v>
      </c>
      <c r="Q164" s="13" t="str">
        <f>IFERROR(IF(VLOOKUP(Tbl_Donnees[[#This Row],[Référence]]&amp;"",Tbl_Catalogue[],13,FALSE)=0,"-",VLOOKUP(Tbl_Donnees[[#This Row],[Référence]]&amp;"",Tbl_Catalogue[],13,FALSE)),"-")</f>
        <v>-</v>
      </c>
      <c r="R164" s="2"/>
    </row>
    <row r="165" spans="1:18" x14ac:dyDescent="0.2">
      <c r="A165" s="2" t="s">
        <v>357</v>
      </c>
      <c r="B165" s="5" t="s">
        <v>41</v>
      </c>
      <c r="C165" s="5" t="s">
        <v>60</v>
      </c>
      <c r="D165" s="6" t="str">
        <f>IFERROR(IF(VLOOKUP(Tbl_Donnees[[#This Row],[Référence]]&amp;"",Tbl_Catalogue[],3,FALSE)=0,"-",VLOOKUP(Tbl_Donnees[[#This Row],[Référence]]&amp;"",Tbl_Catalogue[],3,FALSE)),"-")</f>
        <v>COMMUTATEUR ARRET/MARCHE</v>
      </c>
      <c r="E165" s="6">
        <v>1</v>
      </c>
      <c r="F165" s="6" t="str">
        <f>IFERROR(IF(VLOOKUP(Tbl_Donnees[[#This Row],[Référence]]&amp;"",Tbl_Catalogue[],2,FALSE)=0,"-",VLOOKUP(Tbl_Donnees[[#This Row],[Référence]]&amp;"",Tbl_Catalogue[],2,FALSE)),"-")</f>
        <v>EATON</v>
      </c>
      <c r="G165" s="20" t="s">
        <v>172</v>
      </c>
      <c r="H165" s="6" t="str">
        <f>IFERROR(IF(VLOOKUP(Tbl_Donnees[[#This Row],[Référence]]&amp;"",Tbl_Catalogue[],4,FALSE)=0,"-",VLOOKUP(Tbl_Donnees[[#This Row],[Référence]]&amp;"",Tbl_Catalogue[],4,FALSE)),"-")</f>
        <v>INCONNU</v>
      </c>
      <c r="I165" s="2" t="str">
        <f>IFERROR(IF(VLOOKUP(Tbl_Donnees[[#This Row],[Référence]]&amp;"",Tbl_Catalogue[],5,FALSE)=0,"-",VLOOKUP(Tbl_Donnees[[#This Row],[Référence]]&amp;"",Tbl_Catalogue[],5,FALSE)),"INCONNU")</f>
        <v>INCONNU</v>
      </c>
      <c r="J165" s="3" t="str">
        <f>IFERROR(IF(VLOOKUP(Tbl_Donnees[[#This Row],[Référence]]&amp;"",Tbl_Catalogue[],6,FALSE)=0,"-",VLOOKUP(Tbl_Donnees[[#This Row],[Référence]]&amp;"",Tbl_Catalogue[],6,FALSE)),"-")</f>
        <v>???</v>
      </c>
      <c r="K165" s="2" t="str">
        <f>IFERROR(IF(VLOOKUP(Tbl_Donnees[[#This Row],[Référence]]&amp;"",Tbl_Catalogue[],7,FALSE)=0,"-",VLOOKUP(Tbl_Donnees[[#This Row],[Référence]]&amp;"",Tbl_Catalogue[],7,FALSE)),"-")</f>
        <v>INCONNU</v>
      </c>
      <c r="L165" s="5" t="str">
        <f>IFERROR(IF(VLOOKUP(Tbl_Donnees[[#This Row],[Référence]]&amp;"",Tbl_Catalogue[],10,FALSE)=0,"-",VLOOKUP(Tbl_Donnees[[#This Row],[Référence]]&amp;"",Tbl_Catalogue[],10,FALSE)),"-")</f>
        <v>-</v>
      </c>
      <c r="M165" s="2" t="str">
        <f>IFERROR(IF(VLOOKUP(Tbl_Donnees[[#This Row],[Référence]]&amp;"",Tbl_Catalogue[],8,FALSE)=0,"-",VLOOKUP(Tbl_Donnees[[#This Row],[Référence]]&amp;"",Tbl_Catalogue[],8,FALSE)),"-")</f>
        <v>-</v>
      </c>
      <c r="N165" s="5" t="str">
        <f>IFERROR(IF(VLOOKUP(Tbl_Donnees[[#This Row],[Référence]]&amp;"",Tbl_Catalogue[],9,FALSE)=0,"-",VLOOKUP(Tbl_Donnees[[#This Row],[Référence]]&amp;"",Tbl_Catalogue[],9,FALSE)),"-")</f>
        <v>-</v>
      </c>
      <c r="O165" s="5" t="str">
        <f>IFERROR(IF(VLOOKUP(Tbl_Donnees[[#This Row],[Référence]]&amp;"",Tbl_Catalogue[],11,FALSE)=0,"-",VLOOKUP(Tbl_Donnees[[#This Row],[Référence]]&amp;"",Tbl_Catalogue[],11,FALSE)),"-")</f>
        <v>-</v>
      </c>
      <c r="P165" s="2" t="str">
        <f>IFERROR(IF(VLOOKUP(Tbl_Donnees[[#This Row],[Référence]]&amp;"",Tbl_Catalogue[],12,FALSE)=0,"-",VLOOKUP(Tbl_Donnees[[#This Row],[Référence]]&amp;"",Tbl_Catalogue[],12,FALSE)),"-")</f>
        <v>-</v>
      </c>
      <c r="Q165" s="13" t="str">
        <f>IFERROR(IF(VLOOKUP(Tbl_Donnees[[#This Row],[Référence]]&amp;"",Tbl_Catalogue[],13,FALSE)=0,"-",VLOOKUP(Tbl_Donnees[[#This Row],[Référence]]&amp;"",Tbl_Catalogue[],13,FALSE)),"-")</f>
        <v>-</v>
      </c>
      <c r="R165" s="5"/>
    </row>
    <row r="166" spans="1:18" x14ac:dyDescent="0.2">
      <c r="A166" s="2" t="s">
        <v>357</v>
      </c>
      <c r="B166" s="5" t="s">
        <v>41</v>
      </c>
      <c r="C166" s="5" t="s">
        <v>60</v>
      </c>
      <c r="D166" s="6" t="str">
        <f>IFERROR(IF(VLOOKUP(Tbl_Donnees[[#This Row],[Référence]]&amp;"",Tbl_Catalogue[],3,FALSE)=0,"-",VLOOKUP(Tbl_Donnees[[#This Row],[Référence]]&amp;"",Tbl_Catalogue[],3,FALSE)),"-")</f>
        <v>FILTRE ELECTRONIQUE TDC 05/M</v>
      </c>
      <c r="E166" s="6">
        <v>1</v>
      </c>
      <c r="F166" s="6" t="str">
        <f>IFERROR(IF(VLOOKUP(Tbl_Donnees[[#This Row],[Référence]]&amp;"",Tbl_Catalogue[],2,FALSE)=0,"-",VLOOKUP(Tbl_Donnees[[#This Row],[Référence]]&amp;"",Tbl_Catalogue[],2,FALSE)),"-")</f>
        <v>DETAS</v>
      </c>
      <c r="G166" s="20" t="s">
        <v>624</v>
      </c>
      <c r="H166" s="6" t="str">
        <f>IFERROR(IF(VLOOKUP(Tbl_Donnees[[#This Row],[Référence]]&amp;"",Tbl_Catalogue[],4,FALSE)=0,"-",VLOOKUP(Tbl_Donnees[[#This Row],[Référence]]&amp;"",Tbl_Catalogue[],4,FALSE)),"-")</f>
        <v>-</v>
      </c>
      <c r="I166" s="2" t="str">
        <f>IFERROR(IF(VLOOKUP(Tbl_Donnees[[#This Row],[Référence]]&amp;"",Tbl_Catalogue[],5,FALSE)=0,"-",VLOOKUP(Tbl_Donnees[[#This Row],[Référence]]&amp;"",Tbl_Catalogue[],5,FALSE)),"INCONNU")</f>
        <v>INCONNU</v>
      </c>
      <c r="J166" s="3" t="str">
        <f>IFERROR(IF(VLOOKUP(Tbl_Donnees[[#This Row],[Référence]]&amp;"",Tbl_Catalogue[],6,FALSE)=0,"-",VLOOKUP(Tbl_Donnees[[#This Row],[Référence]]&amp;"",Tbl_Catalogue[],6,FALSE)),"-")</f>
        <v>-</v>
      </c>
      <c r="K166" s="2" t="str">
        <f>IFERROR(IF(VLOOKUP(Tbl_Donnees[[#This Row],[Référence]]&amp;"",Tbl_Catalogue[],7,FALSE)=0,"-",VLOOKUP(Tbl_Donnees[[#This Row],[Référence]]&amp;"",Tbl_Catalogue[],7,FALSE)),"-")</f>
        <v>INCONNU</v>
      </c>
      <c r="L166" s="5" t="str">
        <f>IFERROR(IF(VLOOKUP(Tbl_Donnees[[#This Row],[Référence]]&amp;"",Tbl_Catalogue[],10,FALSE)=0,"-",VLOOKUP(Tbl_Donnees[[#This Row],[Référence]]&amp;"",Tbl_Catalogue[],10,FALSE)),"-")</f>
        <v>-</v>
      </c>
      <c r="M166" s="2" t="str">
        <f>IFERROR(IF(VLOOKUP(Tbl_Donnees[[#This Row],[Référence]]&amp;"",Tbl_Catalogue[],8,FALSE)=0,"-",VLOOKUP(Tbl_Donnees[[#This Row],[Référence]]&amp;"",Tbl_Catalogue[],8,FALSE)),"-")</f>
        <v>-</v>
      </c>
      <c r="N166" s="5" t="str">
        <f>IFERROR(IF(VLOOKUP(Tbl_Donnees[[#This Row],[Référence]]&amp;"",Tbl_Catalogue[],9,FALSE)=0,"-",VLOOKUP(Tbl_Donnees[[#This Row],[Référence]]&amp;"",Tbl_Catalogue[],9,FALSE)),"-")</f>
        <v>-</v>
      </c>
      <c r="O166" s="5" t="str">
        <f>IFERROR(IF(VLOOKUP(Tbl_Donnees[[#This Row],[Référence]]&amp;"",Tbl_Catalogue[],11,FALSE)=0,"-",VLOOKUP(Tbl_Donnees[[#This Row],[Référence]]&amp;"",Tbl_Catalogue[],11,FALSE)),"-")</f>
        <v>-</v>
      </c>
      <c r="P166" s="2" t="str">
        <f>IFERROR(IF(VLOOKUP(Tbl_Donnees[[#This Row],[Référence]]&amp;"",Tbl_Catalogue[],12,FALSE)=0,"-",VLOOKUP(Tbl_Donnees[[#This Row],[Référence]]&amp;"",Tbl_Catalogue[],12,FALSE)),"-")</f>
        <v>-</v>
      </c>
      <c r="Q166" s="13" t="str">
        <f>IFERROR(IF(VLOOKUP(Tbl_Donnees[[#This Row],[Référence]]&amp;"",Tbl_Catalogue[],13,FALSE)=0,"-",VLOOKUP(Tbl_Donnees[[#This Row],[Référence]]&amp;"",Tbl_Catalogue[],13,FALSE)),"-")</f>
        <v>-</v>
      </c>
      <c r="R166" s="2"/>
    </row>
    <row r="167" spans="1:18" x14ac:dyDescent="0.2">
      <c r="A167" s="2" t="s">
        <v>357</v>
      </c>
      <c r="B167" s="5" t="s">
        <v>41</v>
      </c>
      <c r="C167" s="5" t="s">
        <v>60</v>
      </c>
      <c r="D167" s="6" t="str">
        <f>IFERROR(IF(VLOOKUP(Tbl_Donnees[[#This Row],[Référence]]&amp;"",Tbl_Catalogue[],3,FALSE)=0,"-",VLOOKUP(Tbl_Donnees[[#This Row],[Référence]]&amp;"",Tbl_Catalogue[],3,FALSE)),"-")</f>
        <v xml:space="preserve">SOLENOIDE GZ45-4 24V </v>
      </c>
      <c r="E167" s="6">
        <v>5</v>
      </c>
      <c r="F167" s="6" t="str">
        <f>IFERROR(IF(VLOOKUP(Tbl_Donnees[[#This Row],[Référence]]&amp;"",Tbl_Catalogue[],2,FALSE)=0,"-",VLOOKUP(Tbl_Donnees[[#This Row],[Référence]]&amp;"",Tbl_Catalogue[],2,FALSE)),"-")</f>
        <v>BOSCH REXROTH</v>
      </c>
      <c r="G167" s="20" t="s">
        <v>631</v>
      </c>
      <c r="H167" s="6" t="str">
        <f>IFERROR(IF(VLOOKUP(Tbl_Donnees[[#This Row],[Référence]]&amp;"",Tbl_Catalogue[],4,FALSE)=0,"-",VLOOKUP(Tbl_Donnees[[#This Row],[Référence]]&amp;"",Tbl_Catalogue[],4,FALSE)),"-")</f>
        <v>Produit Actif</v>
      </c>
      <c r="I167" s="2" t="str">
        <f>IFERROR(IF(VLOOKUP(Tbl_Donnees[[#This Row],[Référence]]&amp;"",Tbl_Catalogue[],5,FALSE)=0,"-",VLOOKUP(Tbl_Donnees[[#This Row],[Référence]]&amp;"",Tbl_Catalogue[],5,FALSE)),"INCONNU")</f>
        <v>ACTIF</v>
      </c>
      <c r="J167" s="3" t="str">
        <f>IFERROR(IF(VLOOKUP(Tbl_Donnees[[#This Row],[Référence]]&amp;"",Tbl_Catalogue[],6,FALSE)=0,"-",VLOOKUP(Tbl_Donnees[[#This Row],[Référence]]&amp;"",Tbl_Catalogue[],6,FALSE)),"-")</f>
        <v>https://store.boschrexroth.com/fr/fr/p/solenoide-r900021389</v>
      </c>
      <c r="K167" s="2" t="str">
        <f>IFERROR(IF(VLOOKUP(Tbl_Donnees[[#This Row],[Référence]]&amp;"",Tbl_Catalogue[],7,FALSE)=0,"-",VLOOKUP(Tbl_Donnees[[#This Row],[Référence]]&amp;"",Tbl_Catalogue[],7,FALSE)),"-")</f>
        <v>INCONNU</v>
      </c>
      <c r="L167" s="5" t="str">
        <f>IFERROR(IF(VLOOKUP(Tbl_Donnees[[#This Row],[Référence]]&amp;"",Tbl_Catalogue[],10,FALSE)=0,"-",VLOOKUP(Tbl_Donnees[[#This Row],[Référence]]&amp;"",Tbl_Catalogue[],10,FALSE)),"-")</f>
        <v>-</v>
      </c>
      <c r="M167" s="2" t="str">
        <f>IFERROR(IF(VLOOKUP(Tbl_Donnees[[#This Row],[Référence]]&amp;"",Tbl_Catalogue[],8,FALSE)=0,"-",VLOOKUP(Tbl_Donnees[[#This Row],[Référence]]&amp;"",Tbl_Catalogue[],8,FALSE)),"-")</f>
        <v>-</v>
      </c>
      <c r="N167" s="5" t="str">
        <f>IFERROR(IF(VLOOKUP(Tbl_Donnees[[#This Row],[Référence]]&amp;"",Tbl_Catalogue[],9,FALSE)=0,"-",VLOOKUP(Tbl_Donnees[[#This Row],[Référence]]&amp;"",Tbl_Catalogue[],9,FALSE)),"-")</f>
        <v>-</v>
      </c>
      <c r="O167" s="5" t="str">
        <f>IFERROR(IF(VLOOKUP(Tbl_Donnees[[#This Row],[Référence]]&amp;"",Tbl_Catalogue[],11,FALSE)=0,"-",VLOOKUP(Tbl_Donnees[[#This Row],[Référence]]&amp;"",Tbl_Catalogue[],11,FALSE)),"-")</f>
        <v>-</v>
      </c>
      <c r="P167" s="2" t="str">
        <f>IFERROR(IF(VLOOKUP(Tbl_Donnees[[#This Row],[Référence]]&amp;"",Tbl_Catalogue[],12,FALSE)=0,"-",VLOOKUP(Tbl_Donnees[[#This Row],[Référence]]&amp;"",Tbl_Catalogue[],12,FALSE)),"-")</f>
        <v>-</v>
      </c>
      <c r="Q167" s="13" t="str">
        <f>IFERROR(IF(VLOOKUP(Tbl_Donnees[[#This Row],[Référence]]&amp;"",Tbl_Catalogue[],13,FALSE)=0,"-",VLOOKUP(Tbl_Donnees[[#This Row],[Référence]]&amp;"",Tbl_Catalogue[],13,FALSE)),"-")</f>
        <v>-</v>
      </c>
      <c r="R167" s="2"/>
    </row>
    <row r="168" spans="1:18" x14ac:dyDescent="0.2">
      <c r="A168" s="2" t="s">
        <v>357</v>
      </c>
      <c r="B168" s="5" t="s">
        <v>41</v>
      </c>
      <c r="C168" s="5" t="s">
        <v>140</v>
      </c>
      <c r="D168" s="6" t="str">
        <f>IFERROR(IF(VLOOKUP(Tbl_Donnees[[#This Row],[Référence]]&amp;"",Tbl_Catalogue[],3,FALSE)=0,"-",VLOOKUP(Tbl_Donnees[[#This Row],[Référence]]&amp;"",Tbl_Catalogue[],3,FALSE)),"-")</f>
        <v>FILTRE DE LIGNE LF60</v>
      </c>
      <c r="E168" s="6">
        <v>1</v>
      </c>
      <c r="F168" s="6" t="str">
        <f>IFERROR(IF(VLOOKUP(Tbl_Donnees[[#This Row],[Référence]]&amp;"",Tbl_Catalogue[],2,FALSE)=0,"-",VLOOKUP(Tbl_Donnees[[#This Row],[Référence]]&amp;"",Tbl_Catalogue[],2,FALSE)),"-")</f>
        <v>HYDAC</v>
      </c>
      <c r="G168" s="20" t="s">
        <v>185</v>
      </c>
      <c r="H168" s="6" t="str">
        <f>IFERROR(IF(VLOOKUP(Tbl_Donnees[[#This Row],[Référence]]&amp;"",Tbl_Catalogue[],4,FALSE)=0,"-",VLOOKUP(Tbl_Donnees[[#This Row],[Référence]]&amp;"",Tbl_Catalogue[],4,FALSE)),"-")</f>
        <v>Commercialisé</v>
      </c>
      <c r="I168" s="2" t="str">
        <f>IFERROR(IF(VLOOKUP(Tbl_Donnees[[#This Row],[Référence]]&amp;"",Tbl_Catalogue[],5,FALSE)=0,"-",VLOOKUP(Tbl_Donnees[[#This Row],[Référence]]&amp;"",Tbl_Catalogue[],5,FALSE)),"INCONNU")</f>
        <v>ACTIF</v>
      </c>
      <c r="J168" s="3" t="str">
        <f>IFERROR(IF(VLOOKUP(Tbl_Donnees[[#This Row],[Référence]]&amp;"",Tbl_Catalogue[],6,FALSE)=0,"-",VLOOKUP(Tbl_Donnees[[#This Row],[Référence]]&amp;"",Tbl_Catalogue[],6,FALSE)),"-")</f>
        <v>https://www.hydac.com/shop/fr-fr/310056</v>
      </c>
      <c r="K168" s="2" t="str">
        <f>IFERROR(IF(VLOOKUP(Tbl_Donnees[[#This Row],[Référence]]&amp;"",Tbl_Catalogue[],7,FALSE)=0,"-",VLOOKUP(Tbl_Donnees[[#This Row],[Référence]]&amp;"",Tbl_Catalogue[],7,FALSE)),"-")</f>
        <v>-</v>
      </c>
      <c r="L168" s="5" t="str">
        <f>IFERROR(IF(VLOOKUP(Tbl_Donnees[[#This Row],[Référence]]&amp;"",Tbl_Catalogue[],10,FALSE)=0,"-",VLOOKUP(Tbl_Donnees[[#This Row],[Référence]]&amp;"",Tbl_Catalogue[],10,FALSE)),"-")</f>
        <v>-</v>
      </c>
      <c r="M168" s="2" t="str">
        <f>IFERROR(IF(VLOOKUP(Tbl_Donnees[[#This Row],[Référence]]&amp;"",Tbl_Catalogue[],8,FALSE)=0,"-",VLOOKUP(Tbl_Donnees[[#This Row],[Référence]]&amp;"",Tbl_Catalogue[],8,FALSE)),"-")</f>
        <v>-</v>
      </c>
      <c r="N168" s="5" t="str">
        <f>IFERROR(IF(VLOOKUP(Tbl_Donnees[[#This Row],[Référence]]&amp;"",Tbl_Catalogue[],9,FALSE)=0,"-",VLOOKUP(Tbl_Donnees[[#This Row],[Référence]]&amp;"",Tbl_Catalogue[],9,FALSE)),"-")</f>
        <v>-</v>
      </c>
      <c r="O168" s="5" t="str">
        <f>IFERROR(IF(VLOOKUP(Tbl_Donnees[[#This Row],[Référence]]&amp;"",Tbl_Catalogue[],11,FALSE)=0,"-",VLOOKUP(Tbl_Donnees[[#This Row],[Référence]]&amp;"",Tbl_Catalogue[],11,FALSE)),"-")</f>
        <v>-</v>
      </c>
      <c r="P168" s="2" t="str">
        <f>IFERROR(IF(VLOOKUP(Tbl_Donnees[[#This Row],[Référence]]&amp;"",Tbl_Catalogue[],12,FALSE)=0,"-",VLOOKUP(Tbl_Donnees[[#This Row],[Référence]]&amp;"",Tbl_Catalogue[],12,FALSE)),"-")</f>
        <v>-</v>
      </c>
      <c r="Q168" s="13" t="str">
        <f>IFERROR(IF(VLOOKUP(Tbl_Donnees[[#This Row],[Référence]]&amp;"",Tbl_Catalogue[],13,FALSE)=0,"-",VLOOKUP(Tbl_Donnees[[#This Row],[Référence]]&amp;"",Tbl_Catalogue[],13,FALSE)),"-")</f>
        <v>-</v>
      </c>
      <c r="R168" s="5"/>
    </row>
    <row r="169" spans="1:18" x14ac:dyDescent="0.2">
      <c r="A169" s="2" t="s">
        <v>357</v>
      </c>
      <c r="B169" s="5" t="s">
        <v>41</v>
      </c>
      <c r="C169" s="5" t="s">
        <v>140</v>
      </c>
      <c r="D169" s="6" t="str">
        <f>IFERROR(IF(VLOOKUP(Tbl_Donnees[[#This Row],[Référence]]&amp;"",Tbl_Catalogue[],3,FALSE)=0,"-",VLOOKUP(Tbl_Donnees[[#This Row],[Référence]]&amp;"",Tbl_Catalogue[],3,FALSE)),"-")</f>
        <v>PRESSOSTAT PNEUMATIQUE</v>
      </c>
      <c r="E169" s="6">
        <v>1</v>
      </c>
      <c r="F169" s="6" t="str">
        <f>IFERROR(IF(VLOOKUP(Tbl_Donnees[[#This Row],[Référence]]&amp;"",Tbl_Catalogue[],2,FALSE)=0,"-",VLOOKUP(Tbl_Donnees[[#This Row],[Référence]]&amp;"",Tbl_Catalogue[],2,FALSE)),"-")</f>
        <v>CAMOZZI</v>
      </c>
      <c r="G169" s="20" t="s">
        <v>159</v>
      </c>
      <c r="H169" s="6" t="str">
        <f>IFERROR(IF(VLOOKUP(Tbl_Donnees[[#This Row],[Référence]]&amp;"",Tbl_Catalogue[],4,FALSE)=0,"-",VLOOKUP(Tbl_Donnees[[#This Row],[Référence]]&amp;"",Tbl_Catalogue[],4,FALSE)),"-")</f>
        <v>Obsolète</v>
      </c>
      <c r="I169" s="2" t="str">
        <f>IFERROR(IF(VLOOKUP(Tbl_Donnees[[#This Row],[Référence]]&amp;"",Tbl_Catalogue[],5,FALSE)=0,"-",VLOOKUP(Tbl_Donnees[[#This Row],[Référence]]&amp;"",Tbl_Catalogue[],5,FALSE)),"INCONNU")</f>
        <v>OBSOLETE</v>
      </c>
      <c r="J169" s="3" t="str">
        <f>IFERROR(IF(VLOOKUP(Tbl_Donnees[[#This Row],[Référence]]&amp;"",Tbl_Catalogue[],6,FALSE)=0,"-",VLOOKUP(Tbl_Donnees[[#This Row],[Référence]]&amp;"",Tbl_Catalogue[],6,FALSE)),"-")</f>
        <v>-</v>
      </c>
      <c r="K169" s="2" t="str">
        <f>IFERROR(IF(VLOOKUP(Tbl_Donnees[[#This Row],[Référence]]&amp;"",Tbl_Catalogue[],7,FALSE)=0,"-",VLOOKUP(Tbl_Donnees[[#This Row],[Référence]]&amp;"",Tbl_Catalogue[],7,FALSE)),"-")</f>
        <v>INCONNU</v>
      </c>
      <c r="L169" s="5" t="str">
        <f>IFERROR(IF(VLOOKUP(Tbl_Donnees[[#This Row],[Référence]]&amp;"",Tbl_Catalogue[],10,FALSE)=0,"-",VLOOKUP(Tbl_Donnees[[#This Row],[Référence]]&amp;"",Tbl_Catalogue[],10,FALSE)),"-")</f>
        <v>-</v>
      </c>
      <c r="M169" s="2" t="str">
        <f>IFERROR(IF(VLOOKUP(Tbl_Donnees[[#This Row],[Référence]]&amp;"",Tbl_Catalogue[],8,FALSE)=0,"-",VLOOKUP(Tbl_Donnees[[#This Row],[Référence]]&amp;"",Tbl_Catalogue[],8,FALSE)),"-")</f>
        <v>-</v>
      </c>
      <c r="N169" s="5" t="str">
        <f>IFERROR(IF(VLOOKUP(Tbl_Donnees[[#This Row],[Référence]]&amp;"",Tbl_Catalogue[],9,FALSE)=0,"-",VLOOKUP(Tbl_Donnees[[#This Row],[Référence]]&amp;"",Tbl_Catalogue[],9,FALSE)),"-")</f>
        <v>-</v>
      </c>
      <c r="O169" s="5" t="str">
        <f>IFERROR(IF(VLOOKUP(Tbl_Donnees[[#This Row],[Référence]]&amp;"",Tbl_Catalogue[],11,FALSE)=0,"-",VLOOKUP(Tbl_Donnees[[#This Row],[Référence]]&amp;"",Tbl_Catalogue[],11,FALSE)),"-")</f>
        <v>-</v>
      </c>
      <c r="P169" s="2" t="str">
        <f>IFERROR(IF(VLOOKUP(Tbl_Donnees[[#This Row],[Référence]]&amp;"",Tbl_Catalogue[],12,FALSE)=0,"-",VLOOKUP(Tbl_Donnees[[#This Row],[Référence]]&amp;"",Tbl_Catalogue[],12,FALSE)),"-")</f>
        <v>-</v>
      </c>
      <c r="Q169" s="13" t="str">
        <f>IFERROR(IF(VLOOKUP(Tbl_Donnees[[#This Row],[Référence]]&amp;"",Tbl_Catalogue[],13,FALSE)=0,"-",VLOOKUP(Tbl_Donnees[[#This Row],[Référence]]&amp;"",Tbl_Catalogue[],13,FALSE)),"-")</f>
        <v>-</v>
      </c>
      <c r="R169" s="5"/>
    </row>
    <row r="170" spans="1:18" x14ac:dyDescent="0.2">
      <c r="A170" s="2" t="s">
        <v>357</v>
      </c>
      <c r="B170" s="5" t="s">
        <v>41</v>
      </c>
      <c r="C170" s="5" t="s">
        <v>140</v>
      </c>
      <c r="D170" s="6" t="str">
        <f>IFERROR(IF(VLOOKUP(Tbl_Donnees[[#This Row],[Référence]]&amp;"",Tbl_Catalogue[],3,FALSE)=0,"-",VLOOKUP(Tbl_Donnees[[#This Row],[Référence]]&amp;"",Tbl_Catalogue[],3,FALSE)),"-")</f>
        <v>PRESSOSTAT PNEUMATIQUE</v>
      </c>
      <c r="E170" s="6">
        <v>1</v>
      </c>
      <c r="F170" s="6" t="str">
        <f>IFERROR(IF(VLOOKUP(Tbl_Donnees[[#This Row],[Référence]]&amp;"",Tbl_Catalogue[],2,FALSE)=0,"-",VLOOKUP(Tbl_Donnees[[#This Row],[Référence]]&amp;"",Tbl_Catalogue[],2,FALSE)),"-")</f>
        <v>CAMOZZI</v>
      </c>
      <c r="G170" s="20" t="s">
        <v>47</v>
      </c>
      <c r="H170" s="6" t="str">
        <f>IFERROR(IF(VLOOKUP(Tbl_Donnees[[#This Row],[Référence]]&amp;"",Tbl_Catalogue[],4,FALSE)=0,"-",VLOOKUP(Tbl_Donnees[[#This Row],[Référence]]&amp;"",Tbl_Catalogue[],4,FALSE)),"-")</f>
        <v>Obsolète</v>
      </c>
      <c r="I170" s="2" t="str">
        <f>IFERROR(IF(VLOOKUP(Tbl_Donnees[[#This Row],[Référence]]&amp;"",Tbl_Catalogue[],5,FALSE)=0,"-",VLOOKUP(Tbl_Donnees[[#This Row],[Référence]]&amp;"",Tbl_Catalogue[],5,FALSE)),"INCONNU")</f>
        <v>OBSOLETE</v>
      </c>
      <c r="J170" s="3" t="str">
        <f>IFERROR(IF(VLOOKUP(Tbl_Donnees[[#This Row],[Référence]]&amp;"",Tbl_Catalogue[],6,FALSE)=0,"-",VLOOKUP(Tbl_Donnees[[#This Row],[Référence]]&amp;"",Tbl_Catalogue[],6,FALSE)),"-")</f>
        <v>-</v>
      </c>
      <c r="K170" s="2" t="str">
        <f>IFERROR(IF(VLOOKUP(Tbl_Donnees[[#This Row],[Référence]]&amp;"",Tbl_Catalogue[],7,FALSE)=0,"-",VLOOKUP(Tbl_Donnees[[#This Row],[Référence]]&amp;"",Tbl_Catalogue[],7,FALSE)),"-")</f>
        <v>INCONNU</v>
      </c>
      <c r="L170" s="5" t="str">
        <f>IFERROR(IF(VLOOKUP(Tbl_Donnees[[#This Row],[Référence]]&amp;"",Tbl_Catalogue[],10,FALSE)=0,"-",VLOOKUP(Tbl_Donnees[[#This Row],[Référence]]&amp;"",Tbl_Catalogue[],10,FALSE)),"-")</f>
        <v>-</v>
      </c>
      <c r="M170" s="2" t="str">
        <f>IFERROR(IF(VLOOKUP(Tbl_Donnees[[#This Row],[Référence]]&amp;"",Tbl_Catalogue[],8,FALSE)=0,"-",VLOOKUP(Tbl_Donnees[[#This Row],[Référence]]&amp;"",Tbl_Catalogue[],8,FALSE)),"-")</f>
        <v>-</v>
      </c>
      <c r="N170" s="5" t="str">
        <f>IFERROR(IF(VLOOKUP(Tbl_Donnees[[#This Row],[Référence]]&amp;"",Tbl_Catalogue[],9,FALSE)=0,"-",VLOOKUP(Tbl_Donnees[[#This Row],[Référence]]&amp;"",Tbl_Catalogue[],9,FALSE)),"-")</f>
        <v>-</v>
      </c>
      <c r="O170" s="5" t="str">
        <f>IFERROR(IF(VLOOKUP(Tbl_Donnees[[#This Row],[Référence]]&amp;"",Tbl_Catalogue[],11,FALSE)=0,"-",VLOOKUP(Tbl_Donnees[[#This Row],[Référence]]&amp;"",Tbl_Catalogue[],11,FALSE)),"-")</f>
        <v>-</v>
      </c>
      <c r="P170" s="2" t="str">
        <f>IFERROR(IF(VLOOKUP(Tbl_Donnees[[#This Row],[Référence]]&amp;"",Tbl_Catalogue[],12,FALSE)=0,"-",VLOOKUP(Tbl_Donnees[[#This Row],[Référence]]&amp;"",Tbl_Catalogue[],12,FALSE)),"-")</f>
        <v>-</v>
      </c>
      <c r="Q170" s="13" t="str">
        <f>IFERROR(IF(VLOOKUP(Tbl_Donnees[[#This Row],[Référence]]&amp;"",Tbl_Catalogue[],13,FALSE)=0,"-",VLOOKUP(Tbl_Donnees[[#This Row],[Référence]]&amp;"",Tbl_Catalogue[],13,FALSE)),"-")</f>
        <v>-</v>
      </c>
      <c r="R170" s="2"/>
    </row>
    <row r="171" spans="1:18" x14ac:dyDescent="0.2">
      <c r="A171" s="2" t="s">
        <v>357</v>
      </c>
      <c r="B171" s="5" t="s">
        <v>41</v>
      </c>
      <c r="C171" s="5" t="s">
        <v>140</v>
      </c>
      <c r="D171" s="6" t="str">
        <f>IFERROR(IF(VLOOKUP(Tbl_Donnees[[#This Row],[Référence]]&amp;"",Tbl_Catalogue[],3,FALSE)=0,"-",VLOOKUP(Tbl_Donnees[[#This Row],[Référence]]&amp;"",Tbl_Catalogue[],3,FALSE)),"-")</f>
        <v>LIMIT. PRESSION PROP. DBE6</v>
      </c>
      <c r="E171" s="6">
        <v>1</v>
      </c>
      <c r="F171" s="6" t="str">
        <f>IFERROR(IF(VLOOKUP(Tbl_Donnees[[#This Row],[Référence]]&amp;"",Tbl_Catalogue[],2,FALSE)=0,"-",VLOOKUP(Tbl_Donnees[[#This Row],[Référence]]&amp;"",Tbl_Catalogue[],2,FALSE)),"-")</f>
        <v>BOSCH REXROTH</v>
      </c>
      <c r="G171" s="20" t="s">
        <v>637</v>
      </c>
      <c r="H171" s="6" t="str">
        <f>IFERROR(IF(VLOOKUP(Tbl_Donnees[[#This Row],[Référence]]&amp;"",Tbl_Catalogue[],4,FALSE)=0,"-",VLOOKUP(Tbl_Donnees[[#This Row],[Référence]]&amp;"",Tbl_Catalogue[],4,FALSE)),"-")</f>
        <v>Plus de production</v>
      </c>
      <c r="I171" s="2" t="str">
        <f>IFERROR(IF(VLOOKUP(Tbl_Donnees[[#This Row],[Référence]]&amp;"",Tbl_Catalogue[],5,FALSE)=0,"-",VLOOKUP(Tbl_Donnees[[#This Row],[Référence]]&amp;"",Tbl_Catalogue[],5,FALSE)),"INCONNU")</f>
        <v>OBSOLETE</v>
      </c>
      <c r="J171" s="3" t="str">
        <f>IFERROR(IF(VLOOKUP(Tbl_Donnees[[#This Row],[Référence]]&amp;"",Tbl_Catalogue[],6,FALSE)=0,"-",VLOOKUP(Tbl_Donnees[[#This Row],[Référence]]&amp;"",Tbl_Catalogue[],6,FALSE)),"-")</f>
        <v>https://store.boschrexroth.com/fr/fr/p/r900924428</v>
      </c>
      <c r="K171" s="2" t="str">
        <f>IFERROR(IF(VLOOKUP(Tbl_Donnees[[#This Row],[Référence]]&amp;"",Tbl_Catalogue[],7,FALSE)=0,"-",VLOOKUP(Tbl_Donnees[[#This Row],[Référence]]&amp;"",Tbl_Catalogue[],7,FALSE)),"-")</f>
        <v>INCONNU</v>
      </c>
      <c r="L171" s="5" t="str">
        <f>IFERROR(IF(VLOOKUP(Tbl_Donnees[[#This Row],[Référence]]&amp;"",Tbl_Catalogue[],10,FALSE)=0,"-",VLOOKUP(Tbl_Donnees[[#This Row],[Référence]]&amp;"",Tbl_Catalogue[],10,FALSE)),"-")</f>
        <v>-</v>
      </c>
      <c r="M171" s="2" t="str">
        <f>IFERROR(IF(VLOOKUP(Tbl_Donnees[[#This Row],[Référence]]&amp;"",Tbl_Catalogue[],8,FALSE)=0,"-",VLOOKUP(Tbl_Donnees[[#This Row],[Référence]]&amp;"",Tbl_Catalogue[],8,FALSE)),"-")</f>
        <v>-</v>
      </c>
      <c r="N171" s="5" t="str">
        <f>IFERROR(IF(VLOOKUP(Tbl_Donnees[[#This Row],[Référence]]&amp;"",Tbl_Catalogue[],9,FALSE)=0,"-",VLOOKUP(Tbl_Donnees[[#This Row],[Référence]]&amp;"",Tbl_Catalogue[],9,FALSE)),"-")</f>
        <v>-</v>
      </c>
      <c r="O171" s="5" t="str">
        <f>IFERROR(IF(VLOOKUP(Tbl_Donnees[[#This Row],[Référence]]&amp;"",Tbl_Catalogue[],11,FALSE)=0,"-",VLOOKUP(Tbl_Donnees[[#This Row],[Référence]]&amp;"",Tbl_Catalogue[],11,FALSE)),"-")</f>
        <v>-</v>
      </c>
      <c r="P171" s="2" t="str">
        <f>IFERROR(IF(VLOOKUP(Tbl_Donnees[[#This Row],[Référence]]&amp;"",Tbl_Catalogue[],12,FALSE)=0,"-",VLOOKUP(Tbl_Donnees[[#This Row],[Référence]]&amp;"",Tbl_Catalogue[],12,FALSE)),"-")</f>
        <v>-</v>
      </c>
      <c r="Q171" s="13" t="str">
        <f>IFERROR(IF(VLOOKUP(Tbl_Donnees[[#This Row],[Référence]]&amp;"",Tbl_Catalogue[],13,FALSE)=0,"-",VLOOKUP(Tbl_Donnees[[#This Row],[Référence]]&amp;"",Tbl_Catalogue[],13,FALSE)),"-")</f>
        <v>-</v>
      </c>
      <c r="R171" s="2"/>
    </row>
    <row r="172" spans="1:18" x14ac:dyDescent="0.2">
      <c r="A172" s="2" t="s">
        <v>357</v>
      </c>
      <c r="B172" s="5" t="s">
        <v>41</v>
      </c>
      <c r="C172" s="5" t="s">
        <v>140</v>
      </c>
      <c r="D172" s="6" t="str">
        <f>IFERROR(IF(VLOOKUP(Tbl_Donnees[[#This Row],[Référence]]&amp;"",Tbl_Catalogue[],3,FALSE)=0,"-",VLOOKUP(Tbl_Donnees[[#This Row],[Référence]]&amp;"",Tbl_Catalogue[],3,FALSE)),"-")</f>
        <v>DISTRIB. 4WE6HA61/EG24</v>
      </c>
      <c r="E172" s="6">
        <v>1</v>
      </c>
      <c r="F172" s="6" t="str">
        <f>IFERROR(IF(VLOOKUP(Tbl_Donnees[[#This Row],[Référence]]&amp;"",Tbl_Catalogue[],2,FALSE)=0,"-",VLOOKUP(Tbl_Donnees[[#This Row],[Référence]]&amp;"",Tbl_Catalogue[],2,FALSE)),"-")</f>
        <v>BOSCH REXROTH</v>
      </c>
      <c r="G172" s="20" t="s">
        <v>635</v>
      </c>
      <c r="H172" s="6" t="str">
        <f>IFERROR(IF(VLOOKUP(Tbl_Donnees[[#This Row],[Référence]]&amp;"",Tbl_Catalogue[],4,FALSE)=0,"-",VLOOKUP(Tbl_Donnees[[#This Row],[Référence]]&amp;"",Tbl_Catalogue[],4,FALSE)),"-")</f>
        <v>Produit Actif</v>
      </c>
      <c r="I172" s="2" t="str">
        <f>IFERROR(IF(VLOOKUP(Tbl_Donnees[[#This Row],[Référence]]&amp;"",Tbl_Catalogue[],5,FALSE)=0,"-",VLOOKUP(Tbl_Donnees[[#This Row],[Référence]]&amp;"",Tbl_Catalogue[],5,FALSE)),"INCONNU")</f>
        <v>ACTIF</v>
      </c>
      <c r="J172" s="3" t="str">
        <f>IFERROR(IF(VLOOKUP(Tbl_Donnees[[#This Row],[Référence]]&amp;"",Tbl_Catalogue[],6,FALSE)=0,"-",VLOOKUP(Tbl_Donnees[[#This Row],[Référence]]&amp;"",Tbl_Catalogue[],6,FALSE)),"-")</f>
        <v>https://store.boschrexroth.com/fr/fr/p/distributeur-r900549534</v>
      </c>
      <c r="K172" s="2" t="str">
        <f>IFERROR(IF(VLOOKUP(Tbl_Donnees[[#This Row],[Référence]]&amp;"",Tbl_Catalogue[],7,FALSE)=0,"-",VLOOKUP(Tbl_Donnees[[#This Row],[Référence]]&amp;"",Tbl_Catalogue[],7,FALSE)),"-")</f>
        <v>INCONNU</v>
      </c>
      <c r="L172" s="5" t="str">
        <f>IFERROR(IF(VLOOKUP(Tbl_Donnees[[#This Row],[Référence]]&amp;"",Tbl_Catalogue[],10,FALSE)=0,"-",VLOOKUP(Tbl_Donnees[[#This Row],[Référence]]&amp;"",Tbl_Catalogue[],10,FALSE)),"-")</f>
        <v>-</v>
      </c>
      <c r="M172" s="2" t="str">
        <f>IFERROR(IF(VLOOKUP(Tbl_Donnees[[#This Row],[Référence]]&amp;"",Tbl_Catalogue[],8,FALSE)=0,"-",VLOOKUP(Tbl_Donnees[[#This Row],[Référence]]&amp;"",Tbl_Catalogue[],8,FALSE)),"-")</f>
        <v>-</v>
      </c>
      <c r="N172" s="5" t="str">
        <f>IFERROR(IF(VLOOKUP(Tbl_Donnees[[#This Row],[Référence]]&amp;"",Tbl_Catalogue[],9,FALSE)=0,"-",VLOOKUP(Tbl_Donnees[[#This Row],[Référence]]&amp;"",Tbl_Catalogue[],9,FALSE)),"-")</f>
        <v>-</v>
      </c>
      <c r="O172" s="5" t="str">
        <f>IFERROR(IF(VLOOKUP(Tbl_Donnees[[#This Row],[Référence]]&amp;"",Tbl_Catalogue[],11,FALSE)=0,"-",VLOOKUP(Tbl_Donnees[[#This Row],[Référence]]&amp;"",Tbl_Catalogue[],11,FALSE)),"-")</f>
        <v>-</v>
      </c>
      <c r="P172" s="2" t="str">
        <f>IFERROR(IF(VLOOKUP(Tbl_Donnees[[#This Row],[Référence]]&amp;"",Tbl_Catalogue[],12,FALSE)=0,"-",VLOOKUP(Tbl_Donnees[[#This Row],[Référence]]&amp;"",Tbl_Catalogue[],12,FALSE)),"-")</f>
        <v>-</v>
      </c>
      <c r="Q172" s="13" t="str">
        <f>IFERROR(IF(VLOOKUP(Tbl_Donnees[[#This Row],[Référence]]&amp;"",Tbl_Catalogue[],13,FALSE)=0,"-",VLOOKUP(Tbl_Donnees[[#This Row],[Référence]]&amp;"",Tbl_Catalogue[],13,FALSE)),"-")</f>
        <v>-</v>
      </c>
      <c r="R172" s="5"/>
    </row>
    <row r="173" spans="1:18" x14ac:dyDescent="0.2">
      <c r="A173" s="2" t="s">
        <v>357</v>
      </c>
      <c r="B173" s="5" t="s">
        <v>41</v>
      </c>
      <c r="C173" s="5" t="s">
        <v>140</v>
      </c>
      <c r="D173" s="6" t="str">
        <f>IFERROR(IF(VLOOKUP(Tbl_Donnees[[#This Row],[Référence]]&amp;"",Tbl_Catalogue[],3,FALSE)=0,"-",VLOOKUP(Tbl_Donnees[[#This Row],[Référence]]&amp;"",Tbl_Catalogue[],3,FALSE)),"-")</f>
        <v>DISTRIB. 4WE6E62/EG24</v>
      </c>
      <c r="E173" s="6">
        <v>2</v>
      </c>
      <c r="F173" s="6" t="str">
        <f>IFERROR(IF(VLOOKUP(Tbl_Donnees[[#This Row],[Référence]]&amp;"",Tbl_Catalogue[],2,FALSE)=0,"-",VLOOKUP(Tbl_Donnees[[#This Row],[Référence]]&amp;"",Tbl_Catalogue[],2,FALSE)),"-")</f>
        <v>BOSCH REXROTH</v>
      </c>
      <c r="G173" s="20" t="s">
        <v>176</v>
      </c>
      <c r="H173" s="6" t="str">
        <f>IFERROR(IF(VLOOKUP(Tbl_Donnees[[#This Row],[Référence]]&amp;"",Tbl_Catalogue[],4,FALSE)=0,"-",VLOOKUP(Tbl_Donnees[[#This Row],[Référence]]&amp;"",Tbl_Catalogue[],4,FALSE)),"-")</f>
        <v>Produit actif</v>
      </c>
      <c r="I173" s="2" t="str">
        <f>IFERROR(IF(VLOOKUP(Tbl_Donnees[[#This Row],[Référence]]&amp;"",Tbl_Catalogue[],5,FALSE)=0,"-",VLOOKUP(Tbl_Donnees[[#This Row],[Référence]]&amp;"",Tbl_Catalogue[],5,FALSE)),"INCONNU")</f>
        <v>ACTIF</v>
      </c>
      <c r="J173" s="3" t="str">
        <f>IFERROR(IF(VLOOKUP(Tbl_Donnees[[#This Row],[Référence]]&amp;"",Tbl_Catalogue[],6,FALSE)=0,"-",VLOOKUP(Tbl_Donnees[[#This Row],[Référence]]&amp;"",Tbl_Catalogue[],6,FALSE)),"-")</f>
        <v>https://store.boschrexroth.com/fr/fr/p/distributeur-r900561278</v>
      </c>
      <c r="K173" s="2" t="str">
        <f>IFERROR(IF(VLOOKUP(Tbl_Donnees[[#This Row],[Référence]]&amp;"",Tbl_Catalogue[],7,FALSE)=0,"-",VLOOKUP(Tbl_Donnees[[#This Row],[Référence]]&amp;"",Tbl_Catalogue[],7,FALSE)),"-")</f>
        <v>INCONNU</v>
      </c>
      <c r="L173" s="5" t="str">
        <f>IFERROR(IF(VLOOKUP(Tbl_Donnees[[#This Row],[Référence]]&amp;"",Tbl_Catalogue[],10,FALSE)=0,"-",VLOOKUP(Tbl_Donnees[[#This Row],[Référence]]&amp;"",Tbl_Catalogue[],10,FALSE)),"-")</f>
        <v>-</v>
      </c>
      <c r="M173" s="2" t="str">
        <f>IFERROR(IF(VLOOKUP(Tbl_Donnees[[#This Row],[Référence]]&amp;"",Tbl_Catalogue[],8,FALSE)=0,"-",VLOOKUP(Tbl_Donnees[[#This Row],[Référence]]&amp;"",Tbl_Catalogue[],8,FALSE)),"-")</f>
        <v>-</v>
      </c>
      <c r="N173" s="5" t="str">
        <f>IFERROR(IF(VLOOKUP(Tbl_Donnees[[#This Row],[Référence]]&amp;"",Tbl_Catalogue[],9,FALSE)=0,"-",VLOOKUP(Tbl_Donnees[[#This Row],[Référence]]&amp;"",Tbl_Catalogue[],9,FALSE)),"-")</f>
        <v>-</v>
      </c>
      <c r="O173" s="5" t="str">
        <f>IFERROR(IF(VLOOKUP(Tbl_Donnees[[#This Row],[Référence]]&amp;"",Tbl_Catalogue[],11,FALSE)=0,"-",VLOOKUP(Tbl_Donnees[[#This Row],[Référence]]&amp;"",Tbl_Catalogue[],11,FALSE)),"-")</f>
        <v>-</v>
      </c>
      <c r="P173" s="2" t="str">
        <f>IFERROR(IF(VLOOKUP(Tbl_Donnees[[#This Row],[Référence]]&amp;"",Tbl_Catalogue[],12,FALSE)=0,"-",VLOOKUP(Tbl_Donnees[[#This Row],[Référence]]&amp;"",Tbl_Catalogue[],12,FALSE)),"-")</f>
        <v>-</v>
      </c>
      <c r="Q173" s="13" t="str">
        <f>IFERROR(IF(VLOOKUP(Tbl_Donnees[[#This Row],[Référence]]&amp;"",Tbl_Catalogue[],13,FALSE)=0,"-",VLOOKUP(Tbl_Donnees[[#This Row],[Référence]]&amp;"",Tbl_Catalogue[],13,FALSE)),"-")</f>
        <v>-</v>
      </c>
      <c r="R173" s="2"/>
    </row>
    <row r="174" spans="1:18" x14ac:dyDescent="0.2">
      <c r="A174" s="2" t="s">
        <v>357</v>
      </c>
      <c r="B174" s="5" t="s">
        <v>359</v>
      </c>
      <c r="C174" s="5" t="s">
        <v>60</v>
      </c>
      <c r="D174" s="6" t="str">
        <f>IFERROR(IF(VLOOKUP(Tbl_Donnees[[#This Row],[Référence]]&amp;"",Tbl_Catalogue[],3,FALSE)=0,"-",VLOOKUP(Tbl_Donnees[[#This Row],[Référence]]&amp;"",Tbl_Catalogue[],3,FALSE)),"-")</f>
        <v>MOT. ASYNCHRONE TRIPHASE</v>
      </c>
      <c r="E174" s="6">
        <v>1</v>
      </c>
      <c r="F174" s="6" t="str">
        <f>IFERROR(IF(VLOOKUP(Tbl_Donnees[[#This Row],[Référence]]&amp;"",Tbl_Catalogue[],2,FALSE)=0,"-",VLOOKUP(Tbl_Donnees[[#This Row],[Référence]]&amp;"",Tbl_Catalogue[],2,FALSE)),"-")</f>
        <v>VEM MOTORS</v>
      </c>
      <c r="G174" s="20" t="s">
        <v>470</v>
      </c>
      <c r="H174" s="6" t="str">
        <f>IFERROR(IF(VLOOKUP(Tbl_Donnees[[#This Row],[Référence]]&amp;"",Tbl_Catalogue[],4,FALSE)=0,"-",VLOOKUP(Tbl_Donnees[[#This Row],[Référence]]&amp;"",Tbl_Catalogue[],4,FALSE)),"-")</f>
        <v>Obsolète</v>
      </c>
      <c r="I174" s="2" t="str">
        <f>IFERROR(IF(VLOOKUP(Tbl_Donnees[[#This Row],[Référence]]&amp;"",Tbl_Catalogue[],5,FALSE)=0,"-",VLOOKUP(Tbl_Donnees[[#This Row],[Référence]]&amp;"",Tbl_Catalogue[],5,FALSE)),"INCONNU")</f>
        <v>INCONNU</v>
      </c>
      <c r="J174" s="3" t="str">
        <f>IFERROR(IF(VLOOKUP(Tbl_Donnees[[#This Row],[Référence]]&amp;"",Tbl_Catalogue[],6,FALSE)=0,"-",VLOOKUP(Tbl_Donnees[[#This Row],[Référence]]&amp;"",Tbl_Catalogue[],6,FALSE)),"-")</f>
        <v>-</v>
      </c>
      <c r="K174" s="2" t="str">
        <f>IFERROR(IF(VLOOKUP(Tbl_Donnees[[#This Row],[Référence]]&amp;"",Tbl_Catalogue[],7,FALSE)=0,"-",VLOOKUP(Tbl_Donnees[[#This Row],[Référence]]&amp;"",Tbl_Catalogue[],7,FALSE)),"-")</f>
        <v>INCONNU</v>
      </c>
      <c r="L174" s="5" t="str">
        <f>IFERROR(IF(VLOOKUP(Tbl_Donnees[[#This Row],[Référence]]&amp;"",Tbl_Catalogue[],10,FALSE)=0,"-",VLOOKUP(Tbl_Donnees[[#This Row],[Référence]]&amp;"",Tbl_Catalogue[],10,FALSE)),"-")</f>
        <v>-</v>
      </c>
      <c r="M174" s="2" t="str">
        <f>IFERROR(IF(VLOOKUP(Tbl_Donnees[[#This Row],[Référence]]&amp;"",Tbl_Catalogue[],8,FALSE)=0,"-",VLOOKUP(Tbl_Donnees[[#This Row],[Référence]]&amp;"",Tbl_Catalogue[],8,FALSE)),"-")</f>
        <v>-</v>
      </c>
      <c r="N174" s="5" t="str">
        <f>IFERROR(IF(VLOOKUP(Tbl_Donnees[[#This Row],[Référence]]&amp;"",Tbl_Catalogue[],9,FALSE)=0,"-",VLOOKUP(Tbl_Donnees[[#This Row],[Référence]]&amp;"",Tbl_Catalogue[],9,FALSE)),"-")</f>
        <v>-</v>
      </c>
      <c r="O174" s="5" t="str">
        <f>IFERROR(IF(VLOOKUP(Tbl_Donnees[[#This Row],[Référence]]&amp;"",Tbl_Catalogue[],11,FALSE)=0,"-",VLOOKUP(Tbl_Donnees[[#This Row],[Référence]]&amp;"",Tbl_Catalogue[],11,FALSE)),"-")</f>
        <v>-</v>
      </c>
      <c r="P174" s="2" t="str">
        <f>IFERROR(IF(VLOOKUP(Tbl_Donnees[[#This Row],[Référence]]&amp;"",Tbl_Catalogue[],12,FALSE)=0,"-",VLOOKUP(Tbl_Donnees[[#This Row],[Référence]]&amp;"",Tbl_Catalogue[],12,FALSE)),"-")</f>
        <v>-</v>
      </c>
      <c r="Q174" s="13" t="str">
        <f>IFERROR(IF(VLOOKUP(Tbl_Donnees[[#This Row],[Référence]]&amp;"",Tbl_Catalogue[],13,FALSE)=0,"-",VLOOKUP(Tbl_Donnees[[#This Row],[Référence]]&amp;"",Tbl_Catalogue[],13,FALSE)),"-")</f>
        <v>-</v>
      </c>
      <c r="R174" s="5"/>
    </row>
    <row r="175" spans="1:18" ht="20.399999999999999" x14ac:dyDescent="0.2">
      <c r="A175" s="2" t="s">
        <v>357</v>
      </c>
      <c r="B175" s="5" t="s">
        <v>359</v>
      </c>
      <c r="C175" s="5" t="s">
        <v>60</v>
      </c>
      <c r="D175" s="6" t="str">
        <f>IFERROR(IF(VLOOKUP(Tbl_Donnees[[#This Row],[Référence]]&amp;"",Tbl_Catalogue[],3,FALSE)=0,"-",VLOOKUP(Tbl_Donnees[[#This Row],[Référence]]&amp;"",Tbl_Catalogue[],3,FALSE)),"-")</f>
        <v>BLOC CONTACT NC HARMONY</v>
      </c>
      <c r="E175" s="6">
        <v>1</v>
      </c>
      <c r="F175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75" s="20" t="s">
        <v>402</v>
      </c>
      <c r="H175" s="6" t="str">
        <f>IFERROR(IF(VLOOKUP(Tbl_Donnees[[#This Row],[Référence]]&amp;"",Tbl_Catalogue[],4,FALSE)=0,"-",VLOOKUP(Tbl_Donnees[[#This Row],[Référence]]&amp;"",Tbl_Catalogue[],4,FALSE)),"-")</f>
        <v>Commercialisé</v>
      </c>
      <c r="I175" s="2" t="str">
        <f>IFERROR(IF(VLOOKUP(Tbl_Donnees[[#This Row],[Référence]]&amp;"",Tbl_Catalogue[],5,FALSE)=0,"-",VLOOKUP(Tbl_Donnees[[#This Row],[Référence]]&amp;"",Tbl_Catalogue[],5,FALSE)),"INCONNU")</f>
        <v>ACTIF</v>
      </c>
      <c r="J175" s="3" t="str">
        <f>IFERROR(IF(VLOOKUP(Tbl_Donnees[[#This Row],[Référence]]&amp;"",Tbl_Catalogue[],6,FALSE)=0,"-",VLOOKUP(Tbl_Donnees[[#This Row],[Référence]]&amp;"",Tbl_Catalogue[],6,FALSE)),"-")</f>
        <v>https://www.se.com/fr/fr/product/ZBE102/harmony-bloc-contact-1o-raccordement-vis%C3%A9trier/</v>
      </c>
      <c r="K175" s="2" t="str">
        <f>IFERROR(IF(VLOOKUP(Tbl_Donnees[[#This Row],[Référence]]&amp;"",Tbl_Catalogue[],7,FALSE)=0,"-",VLOOKUP(Tbl_Donnees[[#This Row],[Référence]]&amp;"",Tbl_Catalogue[],7,FALSE)),"-")</f>
        <v>-</v>
      </c>
      <c r="L175" s="5" t="str">
        <f>IFERROR(IF(VLOOKUP(Tbl_Donnees[[#This Row],[Référence]]&amp;"",Tbl_Catalogue[],10,FALSE)=0,"-",VLOOKUP(Tbl_Donnees[[#This Row],[Référence]]&amp;"",Tbl_Catalogue[],10,FALSE)),"-")</f>
        <v>-</v>
      </c>
      <c r="M175" s="2" t="str">
        <f>IFERROR(IF(VLOOKUP(Tbl_Donnees[[#This Row],[Référence]]&amp;"",Tbl_Catalogue[],8,FALSE)=0,"-",VLOOKUP(Tbl_Donnees[[#This Row],[Référence]]&amp;"",Tbl_Catalogue[],8,FALSE)),"-")</f>
        <v>-</v>
      </c>
      <c r="N175" s="5" t="str">
        <f>IFERROR(IF(VLOOKUP(Tbl_Donnees[[#This Row],[Référence]]&amp;"",Tbl_Catalogue[],9,FALSE)=0,"-",VLOOKUP(Tbl_Donnees[[#This Row],[Référence]]&amp;"",Tbl_Catalogue[],9,FALSE)),"-")</f>
        <v>-</v>
      </c>
      <c r="O175" s="5" t="str">
        <f>IFERROR(IF(VLOOKUP(Tbl_Donnees[[#This Row],[Référence]]&amp;"",Tbl_Catalogue[],11,FALSE)=0,"-",VLOOKUP(Tbl_Donnees[[#This Row],[Référence]]&amp;"",Tbl_Catalogue[],11,FALSE)),"-")</f>
        <v>-</v>
      </c>
      <c r="P175" s="2" t="str">
        <f>IFERROR(IF(VLOOKUP(Tbl_Donnees[[#This Row],[Référence]]&amp;"",Tbl_Catalogue[],12,FALSE)=0,"-",VLOOKUP(Tbl_Donnees[[#This Row],[Référence]]&amp;"",Tbl_Catalogue[],12,FALSE)),"-")</f>
        <v>-</v>
      </c>
      <c r="Q175" s="13" t="str">
        <f>IFERROR(IF(VLOOKUP(Tbl_Donnees[[#This Row],[Référence]]&amp;"",Tbl_Catalogue[],13,FALSE)=0,"-",VLOOKUP(Tbl_Donnees[[#This Row],[Référence]]&amp;"",Tbl_Catalogue[],13,FALSE)),"-")</f>
        <v>-</v>
      </c>
      <c r="R175" s="2"/>
    </row>
    <row r="176" spans="1:18" ht="20.399999999999999" x14ac:dyDescent="0.2">
      <c r="A176" s="2" t="s">
        <v>357</v>
      </c>
      <c r="B176" s="5" t="s">
        <v>359</v>
      </c>
      <c r="C176" s="5" t="s">
        <v>60</v>
      </c>
      <c r="D176" s="6" t="str">
        <f>IFERROR(IF(VLOOKUP(Tbl_Donnees[[#This Row],[Référence]]&amp;"",Tbl_Catalogue[],3,FALSE)=0,"-",VLOOKUP(Tbl_Donnees[[#This Row],[Référence]]&amp;"",Tbl_Catalogue[],3,FALSE)),"-")</f>
        <v xml:space="preserve">INTERFACE SORTIE ZELIO </v>
      </c>
      <c r="E176" s="6">
        <v>5</v>
      </c>
      <c r="F176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76" s="20" t="s">
        <v>438</v>
      </c>
      <c r="H176" s="6" t="str">
        <f>IFERROR(IF(VLOOKUP(Tbl_Donnees[[#This Row],[Référence]]&amp;"",Tbl_Catalogue[],4,FALSE)=0,"-",VLOOKUP(Tbl_Donnees[[#This Row],[Référence]]&amp;"",Tbl_Catalogue[],4,FALSE)),"-")</f>
        <v>La production de ce produit a été arrêtée le:30 juin 2021</v>
      </c>
      <c r="I176" s="2" t="str">
        <f>IFERROR(IF(VLOOKUP(Tbl_Donnees[[#This Row],[Référence]]&amp;"",Tbl_Catalogue[],5,FALSE)=0,"-",VLOOKUP(Tbl_Donnees[[#This Row],[Référence]]&amp;"",Tbl_Catalogue[],5,FALSE)),"INCONNU")</f>
        <v>OBSOLETE</v>
      </c>
      <c r="J176" s="3" t="str">
        <f>IFERROR(IF(VLOOKUP(Tbl_Donnees[[#This Row],[Référence]]&amp;"",Tbl_Catalogue[],6,FALSE)=0,"-",VLOOKUP(Tbl_Donnees[[#This Row],[Référence]]&amp;"",Tbl_Catalogue[],6,FALSE)),"-")</f>
        <v>https://www.se.com/fr/fr/product/ABR1S418B/zelio-module-dinterface-de-sortie-175mm-%C3%A9lectrom%C3%A9ca-24vca-cc-2f/</v>
      </c>
      <c r="K176" s="2" t="str">
        <f>IFERROR(IF(VLOOKUP(Tbl_Donnees[[#This Row],[Référence]]&amp;"",Tbl_Catalogue[],7,FALSE)=0,"-",VLOOKUP(Tbl_Donnees[[#This Row],[Référence]]&amp;"",Tbl_Catalogue[],7,FALSE)),"-")</f>
        <v>NON</v>
      </c>
      <c r="L176" s="5" t="str">
        <f>IFERROR(IF(VLOOKUP(Tbl_Donnees[[#This Row],[Référence]]&amp;"",Tbl_Catalogue[],10,FALSE)=0,"-",VLOOKUP(Tbl_Donnees[[#This Row],[Référence]]&amp;"",Tbl_Catalogue[],10,FALSE)),"-")</f>
        <v>-</v>
      </c>
      <c r="M176" s="2" t="str">
        <f>IFERROR(IF(VLOOKUP(Tbl_Donnees[[#This Row],[Référence]]&amp;"",Tbl_Catalogue[],8,FALSE)=0,"-",VLOOKUP(Tbl_Donnees[[#This Row],[Référence]]&amp;"",Tbl_Catalogue[],8,FALSE)),"-")</f>
        <v>-</v>
      </c>
      <c r="N176" s="5" t="str">
        <f>IFERROR(IF(VLOOKUP(Tbl_Donnees[[#This Row],[Référence]]&amp;"",Tbl_Catalogue[],9,FALSE)=0,"-",VLOOKUP(Tbl_Donnees[[#This Row],[Référence]]&amp;"",Tbl_Catalogue[],9,FALSE)),"-")</f>
        <v>-</v>
      </c>
      <c r="O176" s="5" t="str">
        <f>IFERROR(IF(VLOOKUP(Tbl_Donnees[[#This Row],[Référence]]&amp;"",Tbl_Catalogue[],11,FALSE)=0,"-",VLOOKUP(Tbl_Donnees[[#This Row],[Référence]]&amp;"",Tbl_Catalogue[],11,FALSE)),"-")</f>
        <v>-</v>
      </c>
      <c r="P176" s="2" t="str">
        <f>IFERROR(IF(VLOOKUP(Tbl_Donnees[[#This Row],[Référence]]&amp;"",Tbl_Catalogue[],12,FALSE)=0,"-",VLOOKUP(Tbl_Donnees[[#This Row],[Référence]]&amp;"",Tbl_Catalogue[],12,FALSE)),"-")</f>
        <v>-</v>
      </c>
      <c r="Q176" s="13" t="str">
        <f>IFERROR(IF(VLOOKUP(Tbl_Donnees[[#This Row],[Référence]]&amp;"",Tbl_Catalogue[],13,FALSE)=0,"-",VLOOKUP(Tbl_Donnees[[#This Row],[Référence]]&amp;"",Tbl_Catalogue[],13,FALSE)),"-")</f>
        <v>-</v>
      </c>
      <c r="R176" s="2"/>
    </row>
    <row r="177" spans="1:18" ht="20.399999999999999" x14ac:dyDescent="0.2">
      <c r="A177" s="2" t="s">
        <v>357</v>
      </c>
      <c r="B177" s="5" t="s">
        <v>359</v>
      </c>
      <c r="C177" s="5" t="s">
        <v>60</v>
      </c>
      <c r="D177" s="6" t="str">
        <f>IFERROR(IF(VLOOKUP(Tbl_Donnees[[#This Row],[Référence]]&amp;"",Tbl_Catalogue[],3,FALSE)=0,"-",VLOOKUP(Tbl_Donnees[[#This Row],[Référence]]&amp;"",Tbl_Catalogue[],3,FALSE)),"-")</f>
        <v xml:space="preserve">INTERFACE ENTREE ZELIO </v>
      </c>
      <c r="E177" s="6">
        <v>2</v>
      </c>
      <c r="F177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77" s="20" t="s">
        <v>439</v>
      </c>
      <c r="H177" s="6" t="str">
        <f>IFERROR(IF(VLOOKUP(Tbl_Donnees[[#This Row],[Référence]]&amp;"",Tbl_Catalogue[],4,FALSE)=0,"-",VLOOKUP(Tbl_Donnees[[#This Row],[Référence]]&amp;"",Tbl_Catalogue[],4,FALSE)),"-")</f>
        <v>La production de ce produit a été arrêtée le: 30 juin 2021</v>
      </c>
      <c r="I177" s="2" t="str">
        <f>IFERROR(IF(VLOOKUP(Tbl_Donnees[[#This Row],[Référence]]&amp;"",Tbl_Catalogue[],5,FALSE)=0,"-",VLOOKUP(Tbl_Donnees[[#This Row],[Référence]]&amp;"",Tbl_Catalogue[],5,FALSE)),"INCONNU")</f>
        <v>OBSOLETE</v>
      </c>
      <c r="J177" s="3" t="str">
        <f>IFERROR(IF(VLOOKUP(Tbl_Donnees[[#This Row],[Référence]]&amp;"",Tbl_Catalogue[],6,FALSE)=0,"-",VLOOKUP(Tbl_Donnees[[#This Row],[Référence]]&amp;"",Tbl_Catalogue[],6,FALSE)),"-")</f>
        <v>https://www.se.com/fr/fr/product/ABR1E418B/zelio-module-dinterface-dentr%C3%A9e-175mm-%C3%A9lectrom%C3%A9ca-24vca-cc-2f/</v>
      </c>
      <c r="K177" s="2" t="str">
        <f>IFERROR(IF(VLOOKUP(Tbl_Donnees[[#This Row],[Référence]]&amp;"",Tbl_Catalogue[],7,FALSE)=0,"-",VLOOKUP(Tbl_Donnees[[#This Row],[Référence]]&amp;"",Tbl_Catalogue[],7,FALSE)),"-")</f>
        <v>NON</v>
      </c>
      <c r="L177" s="5" t="str">
        <f>IFERROR(IF(VLOOKUP(Tbl_Donnees[[#This Row],[Référence]]&amp;"",Tbl_Catalogue[],10,FALSE)=0,"-",VLOOKUP(Tbl_Donnees[[#This Row],[Référence]]&amp;"",Tbl_Catalogue[],10,FALSE)),"-")</f>
        <v>-</v>
      </c>
      <c r="M177" s="2" t="str">
        <f>IFERROR(IF(VLOOKUP(Tbl_Donnees[[#This Row],[Référence]]&amp;"",Tbl_Catalogue[],8,FALSE)=0,"-",VLOOKUP(Tbl_Donnees[[#This Row],[Référence]]&amp;"",Tbl_Catalogue[],8,FALSE)),"-")</f>
        <v>-</v>
      </c>
      <c r="N177" s="5" t="str">
        <f>IFERROR(IF(VLOOKUP(Tbl_Donnees[[#This Row],[Référence]]&amp;"",Tbl_Catalogue[],9,FALSE)=0,"-",VLOOKUP(Tbl_Donnees[[#This Row],[Référence]]&amp;"",Tbl_Catalogue[],9,FALSE)),"-")</f>
        <v>-</v>
      </c>
      <c r="O177" s="5" t="str">
        <f>IFERROR(IF(VLOOKUP(Tbl_Donnees[[#This Row],[Référence]]&amp;"",Tbl_Catalogue[],11,FALSE)=0,"-",VLOOKUP(Tbl_Donnees[[#This Row],[Référence]]&amp;"",Tbl_Catalogue[],11,FALSE)),"-")</f>
        <v>-</v>
      </c>
      <c r="P177" s="2" t="str">
        <f>IFERROR(IF(VLOOKUP(Tbl_Donnees[[#This Row],[Référence]]&amp;"",Tbl_Catalogue[],12,FALSE)=0,"-",VLOOKUP(Tbl_Donnees[[#This Row],[Référence]]&amp;"",Tbl_Catalogue[],12,FALSE)),"-")</f>
        <v>-</v>
      </c>
      <c r="Q177" s="13" t="str">
        <f>IFERROR(IF(VLOOKUP(Tbl_Donnees[[#This Row],[Référence]]&amp;"",Tbl_Catalogue[],13,FALSE)=0,"-",VLOOKUP(Tbl_Donnees[[#This Row],[Référence]]&amp;"",Tbl_Catalogue[],13,FALSE)),"-")</f>
        <v>-</v>
      </c>
      <c r="R177" s="5"/>
    </row>
    <row r="178" spans="1:18" ht="20.399999999999999" x14ac:dyDescent="0.2">
      <c r="A178" s="2" t="s">
        <v>357</v>
      </c>
      <c r="B178" s="5" t="s">
        <v>359</v>
      </c>
      <c r="C178" s="5" t="s">
        <v>60</v>
      </c>
      <c r="D178" s="6" t="str">
        <f>IFERROR(IF(VLOOKUP(Tbl_Donnees[[#This Row],[Référence]]&amp;"",Tbl_Catalogue[],3,FALSE)=0,"-",VLOOKUP(Tbl_Donnees[[#This Row],[Référence]]&amp;"",Tbl_Catalogue[],3,FALSE)),"-")</f>
        <v>DISJONCTEUR MOTEUR GV2-M06</v>
      </c>
      <c r="E178" s="6">
        <v>1</v>
      </c>
      <c r="F178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78" s="20" t="s">
        <v>441</v>
      </c>
      <c r="H178" s="6" t="str">
        <f>IFERROR(IF(VLOOKUP(Tbl_Donnees[[#This Row],[Référence]]&amp;"",Tbl_Catalogue[],4,FALSE)=0,"-",VLOOKUP(Tbl_Donnees[[#This Row],[Référence]]&amp;"",Tbl_Catalogue[],4,FALSE)),"-")</f>
        <v>Obsolète</v>
      </c>
      <c r="I178" s="2" t="str">
        <f>IFERROR(IF(VLOOKUP(Tbl_Donnees[[#This Row],[Référence]]&amp;"",Tbl_Catalogue[],5,FALSE)=0,"-",VLOOKUP(Tbl_Donnees[[#This Row],[Référence]]&amp;"",Tbl_Catalogue[],5,FALSE)),"INCONNU")</f>
        <v>OBSOLETE</v>
      </c>
      <c r="J178" s="3" t="str">
        <f>IFERROR(IF(VLOOKUP(Tbl_Donnees[[#This Row],[Référence]]&amp;"",Tbl_Catalogue[],6,FALSE)=0,"-",VLOOKUP(Tbl_Donnees[[#This Row],[Référence]]&amp;"",Tbl_Catalogue[],6,FALSE)),"-")</f>
        <v>-</v>
      </c>
      <c r="K178" s="2" t="str">
        <f>IFERROR(IF(VLOOKUP(Tbl_Donnees[[#This Row],[Référence]]&amp;"",Tbl_Catalogue[],7,FALSE)=0,"-",VLOOKUP(Tbl_Donnees[[#This Row],[Référence]]&amp;"",Tbl_Catalogue[],7,FALSE)),"-")</f>
        <v>OUI</v>
      </c>
      <c r="L178" s="5" t="str">
        <f>IFERROR(IF(VLOOKUP(Tbl_Donnees[[#This Row],[Référence]]&amp;"",Tbl_Catalogue[],10,FALSE)=0,"-",VLOOKUP(Tbl_Donnees[[#This Row],[Référence]]&amp;"",Tbl_Catalogue[],10,FALSE)),"-")</f>
        <v>-</v>
      </c>
      <c r="M178" s="2" t="str">
        <f>IFERROR(IF(VLOOKUP(Tbl_Donnees[[#This Row],[Référence]]&amp;"",Tbl_Catalogue[],8,FALSE)=0,"-",VLOOKUP(Tbl_Donnees[[#This Row],[Référence]]&amp;"",Tbl_Catalogue[],8,FALSE)),"-")</f>
        <v>GV2ME06</v>
      </c>
      <c r="N178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78" s="5" t="str">
        <f>IFERROR(IF(VLOOKUP(Tbl_Donnees[[#This Row],[Référence]]&amp;"",Tbl_Catalogue[],11,FALSE)=0,"-",VLOOKUP(Tbl_Donnees[[#This Row],[Référence]]&amp;"",Tbl_Catalogue[],11,FALSE)),"-")</f>
        <v>-</v>
      </c>
      <c r="P178" s="2" t="str">
        <f>IFERROR(IF(VLOOKUP(Tbl_Donnees[[#This Row],[Référence]]&amp;"",Tbl_Catalogue[],12,FALSE)=0,"-",VLOOKUP(Tbl_Donnees[[#This Row],[Référence]]&amp;"",Tbl_Catalogue[],12,FALSE)),"-")</f>
        <v>ACTIF</v>
      </c>
      <c r="Q178" s="13" t="str">
        <f>IFERROR(IF(VLOOKUP(Tbl_Donnees[[#This Row],[Référence]]&amp;"",Tbl_Catalogue[],13,FALSE)=0,"-",VLOOKUP(Tbl_Donnees[[#This Row],[Référence]]&amp;"",Tbl_Catalogue[],13,FALSE)),"-")</f>
        <v>-</v>
      </c>
      <c r="R178" s="2"/>
    </row>
    <row r="179" spans="1:18" ht="20.399999999999999" x14ac:dyDescent="0.2">
      <c r="A179" s="2" t="s">
        <v>357</v>
      </c>
      <c r="B179" s="5" t="s">
        <v>359</v>
      </c>
      <c r="C179" s="5" t="s">
        <v>60</v>
      </c>
      <c r="D179" s="6" t="str">
        <f>IFERROR(IF(VLOOKUP(Tbl_Donnees[[#This Row],[Référence]]&amp;"",Tbl_Catalogue[],3,FALSE)=0,"-",VLOOKUP(Tbl_Donnees[[#This Row],[Référence]]&amp;"",Tbl_Catalogue[],3,FALSE)),"-")</f>
        <v>DISJONCTEUR MOTEUR GV2-M10</v>
      </c>
      <c r="E179" s="6">
        <v>1</v>
      </c>
      <c r="F179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79" s="20" t="s">
        <v>443</v>
      </c>
      <c r="H179" s="6" t="str">
        <f>IFERROR(IF(VLOOKUP(Tbl_Donnees[[#This Row],[Référence]]&amp;"",Tbl_Catalogue[],4,FALSE)=0,"-",VLOOKUP(Tbl_Donnees[[#This Row],[Référence]]&amp;"",Tbl_Catalogue[],4,FALSE)),"-")</f>
        <v>Obsolète</v>
      </c>
      <c r="I179" s="2" t="str">
        <f>IFERROR(IF(VLOOKUP(Tbl_Donnees[[#This Row],[Référence]]&amp;"",Tbl_Catalogue[],5,FALSE)=0,"-",VLOOKUP(Tbl_Donnees[[#This Row],[Référence]]&amp;"",Tbl_Catalogue[],5,FALSE)),"INCONNU")</f>
        <v>OBSOLETE</v>
      </c>
      <c r="J179" s="3" t="str">
        <f>IFERROR(IF(VLOOKUP(Tbl_Donnees[[#This Row],[Référence]]&amp;"",Tbl_Catalogue[],6,FALSE)=0,"-",VLOOKUP(Tbl_Donnees[[#This Row],[Référence]]&amp;"",Tbl_Catalogue[],6,FALSE)),"-")</f>
        <v>-</v>
      </c>
      <c r="K179" s="2" t="str">
        <f>IFERROR(IF(VLOOKUP(Tbl_Donnees[[#This Row],[Référence]]&amp;"",Tbl_Catalogue[],7,FALSE)=0,"-",VLOOKUP(Tbl_Donnees[[#This Row],[Référence]]&amp;"",Tbl_Catalogue[],7,FALSE)),"-")</f>
        <v>OUI</v>
      </c>
      <c r="L179" s="5" t="str">
        <f>IFERROR(IF(VLOOKUP(Tbl_Donnees[[#This Row],[Référence]]&amp;"",Tbl_Catalogue[],10,FALSE)=0,"-",VLOOKUP(Tbl_Donnees[[#This Row],[Référence]]&amp;"",Tbl_Catalogue[],10,FALSE)),"-")</f>
        <v>-</v>
      </c>
      <c r="M179" s="2" t="str">
        <f>IFERROR(IF(VLOOKUP(Tbl_Donnees[[#This Row],[Référence]]&amp;"",Tbl_Catalogue[],8,FALSE)=0,"-",VLOOKUP(Tbl_Donnees[[#This Row],[Référence]]&amp;"",Tbl_Catalogue[],8,FALSE)),"-")</f>
        <v>GV2ME10</v>
      </c>
      <c r="N179" s="5" t="str">
        <f>IFERROR(IF(VLOOKUP(Tbl_Donnees[[#This Row],[Référence]]&amp;"",Tbl_Catalogue[],9,FALSE)=0,"-",VLOOKUP(Tbl_Donnees[[#This Row],[Référence]]&amp;"",Tbl_Catalogue[],9,FALSE)),"-")</f>
        <v>TELEMECANIQUE/SCHNEIDER ELECTRIC</v>
      </c>
      <c r="O179" s="5" t="str">
        <f>IFERROR(IF(VLOOKUP(Tbl_Donnees[[#This Row],[Référence]]&amp;"",Tbl_Catalogue[],11,FALSE)=0,"-",VLOOKUP(Tbl_Donnees[[#This Row],[Référence]]&amp;"",Tbl_Catalogue[],11,FALSE)),"-")</f>
        <v>-</v>
      </c>
      <c r="P179" s="2" t="str">
        <f>IFERROR(IF(VLOOKUP(Tbl_Donnees[[#This Row],[Référence]]&amp;"",Tbl_Catalogue[],12,FALSE)=0,"-",VLOOKUP(Tbl_Donnees[[#This Row],[Référence]]&amp;"",Tbl_Catalogue[],12,FALSE)),"-")</f>
        <v>ACTIF</v>
      </c>
      <c r="Q179" s="13" t="str">
        <f>IFERROR(IF(VLOOKUP(Tbl_Donnees[[#This Row],[Référence]]&amp;"",Tbl_Catalogue[],13,FALSE)=0,"-",VLOOKUP(Tbl_Donnees[[#This Row],[Référence]]&amp;"",Tbl_Catalogue[],13,FALSE)),"-")</f>
        <v>-</v>
      </c>
      <c r="R179" s="5"/>
    </row>
    <row r="180" spans="1:18" ht="20.399999999999999" x14ac:dyDescent="0.2">
      <c r="A180" s="2" t="s">
        <v>357</v>
      </c>
      <c r="B180" s="5" t="s">
        <v>359</v>
      </c>
      <c r="C180" s="5" t="s">
        <v>60</v>
      </c>
      <c r="D180" s="6" t="str">
        <f>IFERROR(IF(VLOOKUP(Tbl_Donnees[[#This Row],[Référence]]&amp;"",Tbl_Catalogue[],3,FALSE)=0,"-",VLOOKUP(Tbl_Donnees[[#This Row],[Référence]]&amp;"",Tbl_Catalogue[],3,FALSE)),"-")</f>
        <v>CONTACTEUR TESYS LP1K (KSA)</v>
      </c>
      <c r="E180" s="6">
        <v>1</v>
      </c>
      <c r="F180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80" s="20" t="s">
        <v>445</v>
      </c>
      <c r="H180" s="6" t="str">
        <f>IFERROR(IF(VLOOKUP(Tbl_Donnees[[#This Row],[Référence]]&amp;"",Tbl_Catalogue[],4,FALSE)=0,"-",VLOOKUP(Tbl_Donnees[[#This Row],[Référence]]&amp;"",Tbl_Catalogue[],4,FALSE)),"-")</f>
        <v>Commercialisé</v>
      </c>
      <c r="I180" s="2" t="str">
        <f>IFERROR(IF(VLOOKUP(Tbl_Donnees[[#This Row],[Référence]]&amp;"",Tbl_Catalogue[],5,FALSE)=0,"-",VLOOKUP(Tbl_Donnees[[#This Row],[Référence]]&amp;"",Tbl_Catalogue[],5,FALSE)),"INCONNU")</f>
        <v>ACTIF</v>
      </c>
      <c r="J180" s="3" t="str">
        <f>IFERROR(IF(VLOOKUP(Tbl_Donnees[[#This Row],[Référence]]&amp;"",Tbl_Catalogue[],6,FALSE)=0,"-",VLOOKUP(Tbl_Donnees[[#This Row],[Référence]]&amp;"",Tbl_Catalogue[],6,FALSE)),"-")</f>
        <v>https://www.se.com/fr/fr/product/LP1K0910BD/tesys-lp1k-contacteur-3p-ac3-440v-9a-bobine-24vcc/</v>
      </c>
      <c r="K180" s="2" t="str">
        <f>IFERROR(IF(VLOOKUP(Tbl_Donnees[[#This Row],[Référence]]&amp;"",Tbl_Catalogue[],7,FALSE)=0,"-",VLOOKUP(Tbl_Donnees[[#This Row],[Référence]]&amp;"",Tbl_Catalogue[],7,FALSE)),"-")</f>
        <v>-</v>
      </c>
      <c r="L180" s="5" t="str">
        <f>IFERROR(IF(VLOOKUP(Tbl_Donnees[[#This Row],[Référence]]&amp;"",Tbl_Catalogue[],10,FALSE)=0,"-",VLOOKUP(Tbl_Donnees[[#This Row],[Référence]]&amp;"",Tbl_Catalogue[],10,FALSE)),"-")</f>
        <v>-</v>
      </c>
      <c r="M180" s="2" t="str">
        <f>IFERROR(IF(VLOOKUP(Tbl_Donnees[[#This Row],[Référence]]&amp;"",Tbl_Catalogue[],8,FALSE)=0,"-",VLOOKUP(Tbl_Donnees[[#This Row],[Référence]]&amp;"",Tbl_Catalogue[],8,FALSE)),"-")</f>
        <v>-</v>
      </c>
      <c r="N180" s="5" t="str">
        <f>IFERROR(IF(VLOOKUP(Tbl_Donnees[[#This Row],[Référence]]&amp;"",Tbl_Catalogue[],9,FALSE)=0,"-",VLOOKUP(Tbl_Donnees[[#This Row],[Référence]]&amp;"",Tbl_Catalogue[],9,FALSE)),"-")</f>
        <v>-</v>
      </c>
      <c r="O180" s="5" t="str">
        <f>IFERROR(IF(VLOOKUP(Tbl_Donnees[[#This Row],[Référence]]&amp;"",Tbl_Catalogue[],11,FALSE)=0,"-",VLOOKUP(Tbl_Donnees[[#This Row],[Référence]]&amp;"",Tbl_Catalogue[],11,FALSE)),"-")</f>
        <v>-</v>
      </c>
      <c r="P180" s="2" t="str">
        <f>IFERROR(IF(VLOOKUP(Tbl_Donnees[[#This Row],[Référence]]&amp;"",Tbl_Catalogue[],12,FALSE)=0,"-",VLOOKUP(Tbl_Donnees[[#This Row],[Référence]]&amp;"",Tbl_Catalogue[],12,FALSE)),"-")</f>
        <v>-</v>
      </c>
      <c r="Q180" s="13" t="str">
        <f>IFERROR(IF(VLOOKUP(Tbl_Donnees[[#This Row],[Référence]]&amp;"",Tbl_Catalogue[],13,FALSE)=0,"-",VLOOKUP(Tbl_Donnees[[#This Row],[Référence]]&amp;"",Tbl_Catalogue[],13,FALSE)),"-")</f>
        <v>-</v>
      </c>
      <c r="R180" s="2"/>
    </row>
    <row r="181" spans="1:18" ht="20.399999999999999" x14ac:dyDescent="0.2">
      <c r="A181" s="2" t="s">
        <v>357</v>
      </c>
      <c r="B181" s="5" t="s">
        <v>359</v>
      </c>
      <c r="C181" s="5" t="s">
        <v>60</v>
      </c>
      <c r="D181" s="6" t="str">
        <f>IFERROR(IF(VLOOKUP(Tbl_Donnees[[#This Row],[Référence]]&amp;"",Tbl_Catalogue[],3,FALSE)=0,"-",VLOOKUP(Tbl_Donnees[[#This Row],[Référence]]&amp;"",Tbl_Catalogue[],3,FALSE)),"-")</f>
        <v>CONTACTEUR TESYS LP1K (KSA)</v>
      </c>
      <c r="E181" s="6">
        <v>1</v>
      </c>
      <c r="F181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81" s="20" t="s">
        <v>445</v>
      </c>
      <c r="H181" s="6" t="str">
        <f>IFERROR(IF(VLOOKUP(Tbl_Donnees[[#This Row],[Référence]]&amp;"",Tbl_Catalogue[],4,FALSE)=0,"-",VLOOKUP(Tbl_Donnees[[#This Row],[Référence]]&amp;"",Tbl_Catalogue[],4,FALSE)),"-")</f>
        <v>Commercialisé</v>
      </c>
      <c r="I181" s="2" t="str">
        <f>IFERROR(IF(VLOOKUP(Tbl_Donnees[[#This Row],[Référence]]&amp;"",Tbl_Catalogue[],5,FALSE)=0,"-",VLOOKUP(Tbl_Donnees[[#This Row],[Référence]]&amp;"",Tbl_Catalogue[],5,FALSE)),"INCONNU")</f>
        <v>ACTIF</v>
      </c>
      <c r="J181" s="3" t="str">
        <f>IFERROR(IF(VLOOKUP(Tbl_Donnees[[#This Row],[Référence]]&amp;"",Tbl_Catalogue[],6,FALSE)=0,"-",VLOOKUP(Tbl_Donnees[[#This Row],[Référence]]&amp;"",Tbl_Catalogue[],6,FALSE)),"-")</f>
        <v>https://www.se.com/fr/fr/product/LP1K0910BD/tesys-lp1k-contacteur-3p-ac3-440v-9a-bobine-24vcc/</v>
      </c>
      <c r="K181" s="2" t="str">
        <f>IFERROR(IF(VLOOKUP(Tbl_Donnees[[#This Row],[Référence]]&amp;"",Tbl_Catalogue[],7,FALSE)=0,"-",VLOOKUP(Tbl_Donnees[[#This Row],[Référence]]&amp;"",Tbl_Catalogue[],7,FALSE)),"-")</f>
        <v>-</v>
      </c>
      <c r="L181" s="5" t="str">
        <f>IFERROR(IF(VLOOKUP(Tbl_Donnees[[#This Row],[Référence]]&amp;"",Tbl_Catalogue[],10,FALSE)=0,"-",VLOOKUP(Tbl_Donnees[[#This Row],[Référence]]&amp;"",Tbl_Catalogue[],10,FALSE)),"-")</f>
        <v>-</v>
      </c>
      <c r="M181" s="2" t="str">
        <f>IFERROR(IF(VLOOKUP(Tbl_Donnees[[#This Row],[Référence]]&amp;"",Tbl_Catalogue[],8,FALSE)=0,"-",VLOOKUP(Tbl_Donnees[[#This Row],[Référence]]&amp;"",Tbl_Catalogue[],8,FALSE)),"-")</f>
        <v>-</v>
      </c>
      <c r="N181" s="5" t="str">
        <f>IFERROR(IF(VLOOKUP(Tbl_Donnees[[#This Row],[Référence]]&amp;"",Tbl_Catalogue[],9,FALSE)=0,"-",VLOOKUP(Tbl_Donnees[[#This Row],[Référence]]&amp;"",Tbl_Catalogue[],9,FALSE)),"-")</f>
        <v>-</v>
      </c>
      <c r="O181" s="5" t="str">
        <f>IFERROR(IF(VLOOKUP(Tbl_Donnees[[#This Row],[Référence]]&amp;"",Tbl_Catalogue[],11,FALSE)=0,"-",VLOOKUP(Tbl_Donnees[[#This Row],[Référence]]&amp;"",Tbl_Catalogue[],11,FALSE)),"-")</f>
        <v>-</v>
      </c>
      <c r="P181" s="2" t="str">
        <f>IFERROR(IF(VLOOKUP(Tbl_Donnees[[#This Row],[Référence]]&amp;"",Tbl_Catalogue[],12,FALSE)=0,"-",VLOOKUP(Tbl_Donnees[[#This Row],[Référence]]&amp;"",Tbl_Catalogue[],12,FALSE)),"-")</f>
        <v>-</v>
      </c>
      <c r="Q181" s="13" t="str">
        <f>IFERROR(IF(VLOOKUP(Tbl_Donnees[[#This Row],[Référence]]&amp;"",Tbl_Catalogue[],13,FALSE)=0,"-",VLOOKUP(Tbl_Donnees[[#This Row],[Référence]]&amp;"",Tbl_Catalogue[],13,FALSE)),"-")</f>
        <v>-</v>
      </c>
      <c r="R181" s="5"/>
    </row>
    <row r="182" spans="1:18" ht="20.399999999999999" x14ac:dyDescent="0.2">
      <c r="A182" s="2" t="s">
        <v>357</v>
      </c>
      <c r="B182" s="5" t="s">
        <v>359</v>
      </c>
      <c r="C182" s="5" t="s">
        <v>60</v>
      </c>
      <c r="D182" s="6" t="str">
        <f>IFERROR(IF(VLOOKUP(Tbl_Donnees[[#This Row],[Référence]]&amp;"",Tbl_Catalogue[],3,FALSE)=0,"-",VLOOKUP(Tbl_Donnees[[#This Row],[Référence]]&amp;"",Tbl_Catalogue[],3,FALSE)),"-")</f>
        <v>BLOC CONTACTS AUX. TESYS</v>
      </c>
      <c r="E182" s="6">
        <v>1</v>
      </c>
      <c r="F182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82" s="20" t="s">
        <v>447</v>
      </c>
      <c r="H182" s="6" t="str">
        <f>IFERROR(IF(VLOOKUP(Tbl_Donnees[[#This Row],[Référence]]&amp;"",Tbl_Catalogue[],4,FALSE)=0,"-",VLOOKUP(Tbl_Donnees[[#This Row],[Référence]]&amp;"",Tbl_Catalogue[],4,FALSE)),"-")</f>
        <v>Commercialisé</v>
      </c>
      <c r="I182" s="2" t="str">
        <f>IFERROR(IF(VLOOKUP(Tbl_Donnees[[#This Row],[Référence]]&amp;"",Tbl_Catalogue[],5,FALSE)=0,"-",VLOOKUP(Tbl_Donnees[[#This Row],[Référence]]&amp;"",Tbl_Catalogue[],5,FALSE)),"INCONNU")</f>
        <v>ACTIF</v>
      </c>
      <c r="J182" s="3" t="str">
        <f>IFERROR(IF(VLOOKUP(Tbl_Donnees[[#This Row],[Référence]]&amp;"",Tbl_Catalogue[],6,FALSE)=0,"-",VLOOKUP(Tbl_Donnees[[#This Row],[Référence]]&amp;"",Tbl_Catalogue[],6,FALSE)),"-")</f>
        <v>https://www.se.com/fr/fr/product/LA1KN04/tesys-ca-bloc-de-contacts-auxiliaires-0f+4o-bornes-%C3%A0-vis%C3%A9triers/</v>
      </c>
      <c r="K182" s="2" t="str">
        <f>IFERROR(IF(VLOOKUP(Tbl_Donnees[[#This Row],[Référence]]&amp;"",Tbl_Catalogue[],7,FALSE)=0,"-",VLOOKUP(Tbl_Donnees[[#This Row],[Référence]]&amp;"",Tbl_Catalogue[],7,FALSE)),"-")</f>
        <v>-</v>
      </c>
      <c r="L182" s="5" t="str">
        <f>IFERROR(IF(VLOOKUP(Tbl_Donnees[[#This Row],[Référence]]&amp;"",Tbl_Catalogue[],10,FALSE)=0,"-",VLOOKUP(Tbl_Donnees[[#This Row],[Référence]]&amp;"",Tbl_Catalogue[],10,FALSE)),"-")</f>
        <v>-</v>
      </c>
      <c r="M182" s="2" t="str">
        <f>IFERROR(IF(VLOOKUP(Tbl_Donnees[[#This Row],[Référence]]&amp;"",Tbl_Catalogue[],8,FALSE)=0,"-",VLOOKUP(Tbl_Donnees[[#This Row],[Référence]]&amp;"",Tbl_Catalogue[],8,FALSE)),"-")</f>
        <v>-</v>
      </c>
      <c r="N182" s="5" t="str">
        <f>IFERROR(IF(VLOOKUP(Tbl_Donnees[[#This Row],[Référence]]&amp;"",Tbl_Catalogue[],9,FALSE)=0,"-",VLOOKUP(Tbl_Donnees[[#This Row],[Référence]]&amp;"",Tbl_Catalogue[],9,FALSE)),"-")</f>
        <v>-</v>
      </c>
      <c r="O182" s="5" t="str">
        <f>IFERROR(IF(VLOOKUP(Tbl_Donnees[[#This Row],[Référence]]&amp;"",Tbl_Catalogue[],11,FALSE)=0,"-",VLOOKUP(Tbl_Donnees[[#This Row],[Référence]]&amp;"",Tbl_Catalogue[],11,FALSE)),"-")</f>
        <v>-</v>
      </c>
      <c r="P182" s="2" t="str">
        <f>IFERROR(IF(VLOOKUP(Tbl_Donnees[[#This Row],[Référence]]&amp;"",Tbl_Catalogue[],12,FALSE)=0,"-",VLOOKUP(Tbl_Donnees[[#This Row],[Référence]]&amp;"",Tbl_Catalogue[],12,FALSE)),"-")</f>
        <v>-</v>
      </c>
      <c r="Q182" s="13" t="str">
        <f>IFERROR(IF(VLOOKUP(Tbl_Donnees[[#This Row],[Référence]]&amp;"",Tbl_Catalogue[],13,FALSE)=0,"-",VLOOKUP(Tbl_Donnees[[#This Row],[Référence]]&amp;"",Tbl_Catalogue[],13,FALSE)),"-")</f>
        <v>-</v>
      </c>
      <c r="R182" s="2"/>
    </row>
    <row r="183" spans="1:18" ht="20.399999999999999" x14ac:dyDescent="0.2">
      <c r="A183" s="2" t="s">
        <v>357</v>
      </c>
      <c r="B183" s="5" t="s">
        <v>359</v>
      </c>
      <c r="C183" s="5" t="s">
        <v>60</v>
      </c>
      <c r="D183" s="6" t="str">
        <f>IFERROR(IF(VLOOKUP(Tbl_Donnees[[#This Row],[Référence]]&amp;"",Tbl_Catalogue[],3,FALSE)=0,"-",VLOOKUP(Tbl_Donnees[[#This Row],[Référence]]&amp;"",Tbl_Catalogue[],3,FALSE)),"-")</f>
        <v>DISJ. MOTEUR GV2ME14</v>
      </c>
      <c r="E183" s="6">
        <v>1</v>
      </c>
      <c r="F183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83" s="20" t="s">
        <v>449</v>
      </c>
      <c r="H183" s="6" t="str">
        <f>IFERROR(IF(VLOOKUP(Tbl_Donnees[[#This Row],[Référence]]&amp;"",Tbl_Catalogue[],4,FALSE)=0,"-",VLOOKUP(Tbl_Donnees[[#This Row],[Référence]]&amp;"",Tbl_Catalogue[],4,FALSE)),"-")</f>
        <v>Commercialisé</v>
      </c>
      <c r="I183" s="2" t="str">
        <f>IFERROR(IF(VLOOKUP(Tbl_Donnees[[#This Row],[Référence]]&amp;"",Tbl_Catalogue[],5,FALSE)=0,"-",VLOOKUP(Tbl_Donnees[[#This Row],[Référence]]&amp;"",Tbl_Catalogue[],5,FALSE)),"INCONNU")</f>
        <v>ACTIF</v>
      </c>
      <c r="J183" s="3" t="str">
        <f>IFERROR(IF(VLOOKUP(Tbl_Donnees[[#This Row],[Référence]]&amp;"",Tbl_Catalogue[],6,FALSE)=0,"-",VLOOKUP(Tbl_Donnees[[#This Row],[Référence]]&amp;"",Tbl_Catalogue[],6,FALSE)),"-")</f>
        <v>https://www.se.com/fr/fr/product/GV2ME14/tesys-gv2me-disj-moteur-6-10a-3p-3d-d%C3%A9clencheur-magn%C3%A9tothermique/</v>
      </c>
      <c r="K183" s="2" t="str">
        <f>IFERROR(IF(VLOOKUP(Tbl_Donnees[[#This Row],[Référence]]&amp;"",Tbl_Catalogue[],7,FALSE)=0,"-",VLOOKUP(Tbl_Donnees[[#This Row],[Référence]]&amp;"",Tbl_Catalogue[],7,FALSE)),"-")</f>
        <v>-</v>
      </c>
      <c r="L183" s="5" t="str">
        <f>IFERROR(IF(VLOOKUP(Tbl_Donnees[[#This Row],[Référence]]&amp;"",Tbl_Catalogue[],10,FALSE)=0,"-",VLOOKUP(Tbl_Donnees[[#This Row],[Référence]]&amp;"",Tbl_Catalogue[],10,FALSE)),"-")</f>
        <v>-</v>
      </c>
      <c r="M183" s="2" t="str">
        <f>IFERROR(IF(VLOOKUP(Tbl_Donnees[[#This Row],[Référence]]&amp;"",Tbl_Catalogue[],8,FALSE)=0,"-",VLOOKUP(Tbl_Donnees[[#This Row],[Référence]]&amp;"",Tbl_Catalogue[],8,FALSE)),"-")</f>
        <v>-</v>
      </c>
      <c r="N183" s="5" t="str">
        <f>IFERROR(IF(VLOOKUP(Tbl_Donnees[[#This Row],[Référence]]&amp;"",Tbl_Catalogue[],9,FALSE)=0,"-",VLOOKUP(Tbl_Donnees[[#This Row],[Référence]]&amp;"",Tbl_Catalogue[],9,FALSE)),"-")</f>
        <v>-</v>
      </c>
      <c r="O183" s="5" t="str">
        <f>IFERROR(IF(VLOOKUP(Tbl_Donnees[[#This Row],[Référence]]&amp;"",Tbl_Catalogue[],11,FALSE)=0,"-",VLOOKUP(Tbl_Donnees[[#This Row],[Référence]]&amp;"",Tbl_Catalogue[],11,FALSE)),"-")</f>
        <v>-</v>
      </c>
      <c r="P183" s="2" t="str">
        <f>IFERROR(IF(VLOOKUP(Tbl_Donnees[[#This Row],[Référence]]&amp;"",Tbl_Catalogue[],12,FALSE)=0,"-",VLOOKUP(Tbl_Donnees[[#This Row],[Référence]]&amp;"",Tbl_Catalogue[],12,FALSE)),"-")</f>
        <v>-</v>
      </c>
      <c r="Q183" s="13" t="str">
        <f>IFERROR(IF(VLOOKUP(Tbl_Donnees[[#This Row],[Référence]]&amp;"",Tbl_Catalogue[],13,FALSE)=0,"-",VLOOKUP(Tbl_Donnees[[#This Row],[Référence]]&amp;"",Tbl_Catalogue[],13,FALSE)),"-")</f>
        <v>-</v>
      </c>
      <c r="R183" s="5"/>
    </row>
    <row r="184" spans="1:18" ht="20.399999999999999" x14ac:dyDescent="0.2">
      <c r="A184" s="2" t="s">
        <v>357</v>
      </c>
      <c r="B184" s="5" t="s">
        <v>359</v>
      </c>
      <c r="C184" s="5" t="s">
        <v>60</v>
      </c>
      <c r="D184" s="6" t="str">
        <f>IFERROR(IF(VLOOKUP(Tbl_Donnees[[#This Row],[Référence]]&amp;"",Tbl_Catalogue[],3,FALSE)=0,"-",VLOOKUP(Tbl_Donnees[[#This Row],[Référence]]&amp;"",Tbl_Catalogue[],3,FALSE)),"-")</f>
        <v>CONTACTEUR TESYS LC1D</v>
      </c>
      <c r="E184" s="6">
        <v>1</v>
      </c>
      <c r="F184" s="6" t="str">
        <f>IFERROR(IF(VLOOKUP(Tbl_Donnees[[#This Row],[Référence]]&amp;"",Tbl_Catalogue[],2,FALSE)=0,"-",VLOOKUP(Tbl_Donnees[[#This Row],[Référence]]&amp;"",Tbl_Catalogue[],2,FALSE)),"-")</f>
        <v>TELEMECANIQUE/SCHNEIDER ELECTRIC</v>
      </c>
      <c r="G184" s="20" t="s">
        <v>451</v>
      </c>
      <c r="H184" s="6" t="str">
        <f>IFERROR(IF(VLOOKUP(Tbl_Donnees[[#This Row],[Référence]]&amp;"",Tbl_Catalogue[],4,FALSE)=0,"-",VLOOKUP(Tbl_Donnees[[#This Row],[Référence]]&amp;"",Tbl_Catalogue[],4,FALSE)),"-")</f>
        <v>Commercialisé</v>
      </c>
      <c r="I184" s="2" t="str">
        <f>IFERROR(IF(VLOOKUP(Tbl_Donnees[[#This Row],[Référence]]&amp;"",Tbl_Catalogue[],5,FALSE)=0,"-",VLOOKUP(Tbl_Donnees[[#This Row],[Référence]]&amp;"",Tbl_Catalogue[],5,FALSE)),"INCONNU")</f>
        <v>ACTIF</v>
      </c>
      <c r="J184" s="3" t="str">
        <f>IFERROR(IF(VLOOKUP(Tbl_Donnees[[#This Row],[Référence]]&amp;"",Tbl_Catalogue[],6,FALSE)=0,"-",VLOOKUP(Tbl_Donnees[[#This Row],[Référence]]&amp;"",Tbl_Catalogue[],6,FALSE)),"-")</f>
        <v>https://www.se.com/fr/fr/product/LC1D12BD/tesys-lc1d-contacteur-3p-ac3-440v-12a-bobine-24vcc/</v>
      </c>
      <c r="K184" s="2" t="str">
        <f>IFERROR(IF(VLOOKUP(Tbl_Donnees[[#This Row],[Référence]]&amp;"",Tbl_Catalogue[],7,FALSE)=0,"-",VLOOKUP(Tbl_Donnees[[#This Row],[Référence]]&amp;"",Tbl_Catalogue[],7,FALSE)),"-")</f>
        <v>-</v>
      </c>
      <c r="L184" s="5" t="str">
        <f>IFERROR(IF(VLOOKUP(Tbl_Donnees[[#This Row],[Référence]]&amp;"",Tbl_Catalogue[],10,FALSE)=0,"-",VLOOKUP(Tbl_Donnees[[#This Row],[Référence]]&amp;"",Tbl_Catalogue[],10,FALSE)),"-")</f>
        <v>-</v>
      </c>
      <c r="M184" s="2" t="str">
        <f>IFERROR(IF(VLOOKUP(Tbl_Donnees[[#This Row],[Référence]]&amp;"",Tbl_Catalogue[],8,FALSE)=0,"-",VLOOKUP(Tbl_Donnees[[#This Row],[Référence]]&amp;"",Tbl_Catalogue[],8,FALSE)),"-")</f>
        <v>-</v>
      </c>
      <c r="N184" s="5" t="str">
        <f>IFERROR(IF(VLOOKUP(Tbl_Donnees[[#This Row],[Référence]]&amp;"",Tbl_Catalogue[],9,FALSE)=0,"-",VLOOKUP(Tbl_Donnees[[#This Row],[Référence]]&amp;"",Tbl_Catalogue[],9,FALSE)),"-")</f>
        <v>-</v>
      </c>
      <c r="O184" s="5" t="str">
        <f>IFERROR(IF(VLOOKUP(Tbl_Donnees[[#This Row],[Référence]]&amp;"",Tbl_Catalogue[],11,FALSE)=0,"-",VLOOKUP(Tbl_Donnees[[#This Row],[Référence]]&amp;"",Tbl_Catalogue[],11,FALSE)),"-")</f>
        <v>-</v>
      </c>
      <c r="P184" s="2" t="str">
        <f>IFERROR(IF(VLOOKUP(Tbl_Donnees[[#This Row],[Référence]]&amp;"",Tbl_Catalogue[],12,FALSE)=0,"-",VLOOKUP(Tbl_Donnees[[#This Row],[Référence]]&amp;"",Tbl_Catalogue[],12,FALSE)),"-")</f>
        <v>-</v>
      </c>
      <c r="Q184" s="13" t="str">
        <f>IFERROR(IF(VLOOKUP(Tbl_Donnees[[#This Row],[Référence]]&amp;"",Tbl_Catalogue[],13,FALSE)=0,"-",VLOOKUP(Tbl_Donnees[[#This Row],[Référence]]&amp;"",Tbl_Catalogue[],13,FALSE)),"-")</f>
        <v>-</v>
      </c>
      <c r="R184" s="2"/>
    </row>
    <row r="185" spans="1:18" x14ac:dyDescent="0.2">
      <c r="A185" s="2" t="s">
        <v>357</v>
      </c>
      <c r="B185" s="5" t="s">
        <v>359</v>
      </c>
      <c r="C185" s="5" t="s">
        <v>60</v>
      </c>
      <c r="D185" s="6" t="str">
        <f>IFERROR(IF(VLOOKUP(Tbl_Donnees[[#This Row],[Référence]]&amp;"",Tbl_Catalogue[],3,FALSE)=0,"-",VLOOKUP(Tbl_Donnees[[#This Row],[Référence]]&amp;"",Tbl_Catalogue[],3,FALSE)),"-")</f>
        <v>ECHANGEUR CHALEUR PLAQUES</v>
      </c>
      <c r="E185" s="6">
        <v>1</v>
      </c>
      <c r="F185" s="6" t="str">
        <f>IFERROR(IF(VLOOKUP(Tbl_Donnees[[#This Row],[Référence]]&amp;"",Tbl_Catalogue[],2,FALSE)=0,"-",VLOOKUP(Tbl_Donnees[[#This Row],[Référence]]&amp;"",Tbl_Catalogue[],2,FALSE)),"-")</f>
        <v>SWEP</v>
      </c>
      <c r="G185" s="20" t="s">
        <v>490</v>
      </c>
      <c r="H185" s="6" t="str">
        <f>IFERROR(IF(VLOOKUP(Tbl_Donnees[[#This Row],[Référence]]&amp;"",Tbl_Catalogue[],4,FALSE)=0,"-",VLOOKUP(Tbl_Donnees[[#This Row],[Référence]]&amp;"",Tbl_Catalogue[],4,FALSE)),"-")</f>
        <v>-</v>
      </c>
      <c r="I185" s="2" t="str">
        <f>IFERROR(IF(VLOOKUP(Tbl_Donnees[[#This Row],[Référence]]&amp;"",Tbl_Catalogue[],5,FALSE)=0,"-",VLOOKUP(Tbl_Donnees[[#This Row],[Référence]]&amp;"",Tbl_Catalogue[],5,FALSE)),"INCONNU")</f>
        <v>INCONNU</v>
      </c>
      <c r="J185" s="3" t="str">
        <f>IFERROR(IF(VLOOKUP(Tbl_Donnees[[#This Row],[Référence]]&amp;"",Tbl_Catalogue[],6,FALSE)=0,"-",VLOOKUP(Tbl_Donnees[[#This Row],[Référence]]&amp;"",Tbl_Catalogue[],6,FALSE)),"-")</f>
        <v>-</v>
      </c>
      <c r="K185" s="2" t="str">
        <f>IFERROR(IF(VLOOKUP(Tbl_Donnees[[#This Row],[Référence]]&amp;"",Tbl_Catalogue[],7,FALSE)=0,"-",VLOOKUP(Tbl_Donnees[[#This Row],[Référence]]&amp;"",Tbl_Catalogue[],7,FALSE)),"-")</f>
        <v>INCONNU</v>
      </c>
      <c r="L185" s="5" t="str">
        <f>IFERROR(IF(VLOOKUP(Tbl_Donnees[[#This Row],[Référence]]&amp;"",Tbl_Catalogue[],10,FALSE)=0,"-",VLOOKUP(Tbl_Donnees[[#This Row],[Référence]]&amp;"",Tbl_Catalogue[],10,FALSE)),"-")</f>
        <v>-</v>
      </c>
      <c r="M185" s="2" t="str">
        <f>IFERROR(IF(VLOOKUP(Tbl_Donnees[[#This Row],[Référence]]&amp;"",Tbl_Catalogue[],8,FALSE)=0,"-",VLOOKUP(Tbl_Donnees[[#This Row],[Référence]]&amp;"",Tbl_Catalogue[],8,FALSE)),"-")</f>
        <v>-</v>
      </c>
      <c r="N185" s="5" t="str">
        <f>IFERROR(IF(VLOOKUP(Tbl_Donnees[[#This Row],[Référence]]&amp;"",Tbl_Catalogue[],9,FALSE)=0,"-",VLOOKUP(Tbl_Donnees[[#This Row],[Référence]]&amp;"",Tbl_Catalogue[],9,FALSE)),"-")</f>
        <v>-</v>
      </c>
      <c r="O185" s="5" t="str">
        <f>IFERROR(IF(VLOOKUP(Tbl_Donnees[[#This Row],[Référence]]&amp;"",Tbl_Catalogue[],11,FALSE)=0,"-",VLOOKUP(Tbl_Donnees[[#This Row],[Référence]]&amp;"",Tbl_Catalogue[],11,FALSE)),"-")</f>
        <v>-</v>
      </c>
      <c r="P185" s="2" t="str">
        <f>IFERROR(IF(VLOOKUP(Tbl_Donnees[[#This Row],[Référence]]&amp;"",Tbl_Catalogue[],12,FALSE)=0,"-",VLOOKUP(Tbl_Donnees[[#This Row],[Référence]]&amp;"",Tbl_Catalogue[],12,FALSE)),"-")</f>
        <v>-</v>
      </c>
      <c r="Q185" s="13" t="str">
        <f>IFERROR(IF(VLOOKUP(Tbl_Donnees[[#This Row],[Référence]]&amp;"",Tbl_Catalogue[],13,FALSE)=0,"-",VLOOKUP(Tbl_Donnees[[#This Row],[Référence]]&amp;"",Tbl_Catalogue[],13,FALSE)),"-")</f>
        <v>-</v>
      </c>
      <c r="R185" s="5"/>
    </row>
    <row r="186" spans="1:18" x14ac:dyDescent="0.2">
      <c r="A186" s="2" t="s">
        <v>357</v>
      </c>
      <c r="B186" s="5" t="s">
        <v>359</v>
      </c>
      <c r="C186" s="5" t="s">
        <v>60</v>
      </c>
      <c r="D186" s="6" t="str">
        <f>IFERROR(IF(VLOOKUP(Tbl_Donnees[[#This Row],[Référence]]&amp;"",Tbl_Catalogue[],3,FALSE)=0,"-",VLOOKUP(Tbl_Donnees[[#This Row],[Référence]]&amp;"",Tbl_Catalogue[],3,FALSE)),"-")</f>
        <v>MOD. PUISSANCE SIMODRIVE 611</v>
      </c>
      <c r="E186" s="6">
        <v>1</v>
      </c>
      <c r="F186" s="6" t="str">
        <f>IFERROR(IF(VLOOKUP(Tbl_Donnees[[#This Row],[Référence]]&amp;"",Tbl_Catalogue[],2,FALSE)=0,"-",VLOOKUP(Tbl_Donnees[[#This Row],[Référence]]&amp;"",Tbl_Catalogue[],2,FALSE)),"-")</f>
        <v>SIEMENS</v>
      </c>
      <c r="G186" s="20" t="s">
        <v>388</v>
      </c>
      <c r="H186" s="6" t="s">
        <v>61</v>
      </c>
      <c r="I186" s="2" t="str">
        <f>IFERROR(IF(VLOOKUP(Tbl_Donnees[[#This Row],[Référence]]&amp;"",Tbl_Catalogue[],5,FALSE)=0,"-",VLOOKUP(Tbl_Donnees[[#This Row],[Référence]]&amp;"",Tbl_Catalogue[],5,FALSE)),"INCONNU")</f>
        <v>RECHANGE</v>
      </c>
      <c r="J186" s="3" t="s">
        <v>333</v>
      </c>
      <c r="K186" s="2" t="str">
        <f>IFERROR(IF(VLOOKUP(Tbl_Donnees[[#This Row],[Référence]]&amp;"",Tbl_Catalogue[],7,FALSE)=0,"-",VLOOKUP(Tbl_Donnees[[#This Row],[Référence]]&amp;"",Tbl_Catalogue[],7,FALSE)),"-")</f>
        <v>OUI</v>
      </c>
      <c r="L186" s="5" t="str">
        <f>IFERROR(IF(VLOOKUP(Tbl_Donnees[[#This Row],[Référence]]&amp;"",Tbl_Catalogue[],10,FALSE)=0,"-",VLOOKUP(Tbl_Donnees[[#This Row],[Référence]]&amp;"",Tbl_Catalogue[],10,FALSE)),"-")</f>
        <v>REGR U2A OPT-N</v>
      </c>
      <c r="M186" s="2" t="str">
        <f>IFERROR(IF(VLOOKUP(Tbl_Donnees[[#This Row],[Référence]]&amp;"",Tbl_Catalogue[],8,FALSE)=0,"-",VLOOKUP(Tbl_Donnees[[#This Row],[Référence]]&amp;"",Tbl_Catalogue[],8,FALSE)),"-")</f>
        <v>6SN1118-0NH01-0AA1 (À PARTIR DE FW 8.3)</v>
      </c>
      <c r="N186" s="5" t="str">
        <f>IFERROR(IF(VLOOKUP(Tbl_Donnees[[#This Row],[Référence]]&amp;"",Tbl_Catalogue[],9,FALSE)=0,"-",VLOOKUP(Tbl_Donnees[[#This Row],[Référence]]&amp;"",Tbl_Catalogue[],9,FALSE)),"-")</f>
        <v>SIEMENS</v>
      </c>
      <c r="O186" s="5" t="s">
        <v>805</v>
      </c>
      <c r="P186" s="2" t="str">
        <f>IFERROR(IF(VLOOKUP(Tbl_Donnees[[#This Row],[Référence]]&amp;"",Tbl_Catalogue[],12,FALSE)=0,"-",VLOOKUP(Tbl_Donnees[[#This Row],[Référence]]&amp;"",Tbl_Catalogue[],12,FALSE)),"-")</f>
        <v>RECHANGE</v>
      </c>
      <c r="Q186" s="13" t="s">
        <v>345</v>
      </c>
      <c r="R186" s="2"/>
    </row>
    <row r="187" spans="1:18" x14ac:dyDescent="0.2">
      <c r="A187" s="2" t="s">
        <v>357</v>
      </c>
      <c r="B187" s="5" t="s">
        <v>359</v>
      </c>
      <c r="C187" s="5" t="s">
        <v>60</v>
      </c>
      <c r="D187" s="6" t="str">
        <f>IFERROR(IF(VLOOKUP(Tbl_Donnees[[#This Row],[Référence]]&amp;"",Tbl_Catalogue[],3,FALSE)=0,"-",VLOOKUP(Tbl_Donnees[[#This Row],[Référence]]&amp;"",Tbl_Catalogue[],3,FALSE)),"-")</f>
        <v xml:space="preserve">COUPLEUR IM365 </v>
      </c>
      <c r="E187" s="6">
        <v>2</v>
      </c>
      <c r="F187" s="6" t="str">
        <f>IFERROR(IF(VLOOKUP(Tbl_Donnees[[#This Row],[Référence]]&amp;"",Tbl_Catalogue[],2,FALSE)=0,"-",VLOOKUP(Tbl_Donnees[[#This Row],[Référence]]&amp;"",Tbl_Catalogue[],2,FALSE)),"-")</f>
        <v>SIEMENS</v>
      </c>
      <c r="G187" s="20" t="s">
        <v>417</v>
      </c>
      <c r="H187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87" s="2" t="str">
        <f>IFERROR(IF(VLOOKUP(Tbl_Donnees[[#This Row],[Référence]]&amp;"",Tbl_Catalogue[],5,FALSE)=0,"-",VLOOKUP(Tbl_Donnees[[#This Row],[Référence]]&amp;"",Tbl_Catalogue[],5,FALSE)),"INCONNU")</f>
        <v>RECHANGE</v>
      </c>
      <c r="J187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https://sieportal.siemens.com/fr-fr/products-services/detail/6ES7365-0BA01-0AA0?tree=CatalogTree#overview</v>
      </c>
      <c r="K187" s="2" t="str">
        <f>IFERROR(IF(VLOOKUP(Tbl_Donnees[[#This Row],[Référence]]&amp;"",Tbl_Catalogue[],7,FALSE)=0,"-",VLOOKUP(Tbl_Donnees[[#This Row],[Référence]]&amp;"",Tbl_Catalogue[],7,FALSE)),"-")</f>
        <v>INCONNU</v>
      </c>
      <c r="L187" s="5" t="str">
        <f>IFERROR(IF(VLOOKUP(Tbl_Donnees[[#This Row],[Référence]]&amp;"",Tbl_Catalogue[],10,FALSE)=0,"-",VLOOKUP(Tbl_Donnees[[#This Row],[Référence]]&amp;"",Tbl_Catalogue[],10,FALSE)),"-")</f>
        <v>-</v>
      </c>
      <c r="M187" s="2" t="str">
        <f>IFERROR(IF(VLOOKUP(Tbl_Donnees[[#This Row],[Référence]]&amp;"",Tbl_Catalogue[],8,FALSE)=0,"-",VLOOKUP(Tbl_Donnees[[#This Row],[Référence]]&amp;"",Tbl_Catalogue[],8,FALSE)),"-")</f>
        <v>-</v>
      </c>
      <c r="N187" s="5" t="str">
        <f>IFERROR(IF(VLOOKUP(Tbl_Donnees[[#This Row],[Référence]]&amp;"",Tbl_Catalogue[],9,FALSE)=0,"-",VLOOKUP(Tbl_Donnees[[#This Row],[Référence]]&amp;"",Tbl_Catalogue[],9,FALSE)),"-")</f>
        <v>-</v>
      </c>
      <c r="O187" s="5" t="str">
        <f>IFERROR(IF(VLOOKUP(Tbl_Donnees[[#This Row],[Référence]]&amp;"",Tbl_Catalogue[],11,FALSE)=0,"-",VLOOKUP(Tbl_Donnees[[#This Row],[Référence]]&amp;"",Tbl_Catalogue[],11,FALSE)),"-")</f>
        <v>-</v>
      </c>
      <c r="P187" s="2" t="str">
        <f>IFERROR(IF(VLOOKUP(Tbl_Donnees[[#This Row],[Référence]]&amp;"",Tbl_Catalogue[],12,FALSE)=0,"-",VLOOKUP(Tbl_Donnees[[#This Row],[Référence]]&amp;"",Tbl_Catalogue[],12,FALSE)),"-")</f>
        <v>-</v>
      </c>
      <c r="Q187" s="13" t="str">
        <f>IFERROR(IF(VLOOKUP(Tbl_Donnees[[#This Row],[Référence]]&amp;"",Tbl_Catalogue[],13,FALSE)=0,"-",VLOOKUP(Tbl_Donnees[[#This Row],[Référence]]&amp;"",Tbl_Catalogue[],13,FALSE)),"-")</f>
        <v>-</v>
      </c>
      <c r="R187" s="5"/>
    </row>
    <row r="188" spans="1:18" x14ac:dyDescent="0.2">
      <c r="A188" s="2" t="s">
        <v>357</v>
      </c>
      <c r="B188" s="5" t="s">
        <v>359</v>
      </c>
      <c r="C188" s="5" t="s">
        <v>60</v>
      </c>
      <c r="D188" s="6" t="str">
        <f>IFERROR(IF(VLOOKUP(Tbl_Donnees[[#This Row],[Référence]]&amp;"",Tbl_Catalogue[],3,FALSE)=0,"-",VLOOKUP(Tbl_Donnees[[#This Row],[Référence]]&amp;"",Tbl_Catalogue[],3,FALSE)),"-")</f>
        <v xml:space="preserve">MOD. 32 DI 24VCC SM321 </v>
      </c>
      <c r="E188" s="6">
        <v>5</v>
      </c>
      <c r="F188" s="6" t="str">
        <f>IFERROR(IF(VLOOKUP(Tbl_Donnees[[#This Row],[Référence]]&amp;"",Tbl_Catalogue[],2,FALSE)=0,"-",VLOOKUP(Tbl_Donnees[[#This Row],[Référence]]&amp;"",Tbl_Catalogue[],2,FALSE)),"-")</f>
        <v>SIEMENS</v>
      </c>
      <c r="G188" s="20" t="s">
        <v>8</v>
      </c>
      <c r="H188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88" s="2" t="str">
        <f>IFERROR(IF(VLOOKUP(Tbl_Donnees[[#This Row],[Référence]]&amp;"",Tbl_Catalogue[],5,FALSE)=0,"-",VLOOKUP(Tbl_Donnees[[#This Row],[Référence]]&amp;"",Tbl_Catalogue[],5,FALSE)),"INCONNU")</f>
        <v>RECHANGE</v>
      </c>
      <c r="J188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https://sieportal.siemens.com/en-ww/products-services/detail/6ES7321-1BL00-0AA0?tree=CatalogTree</v>
      </c>
      <c r="K188" s="2" t="str">
        <f>IFERROR(IF(VLOOKUP(Tbl_Donnees[[#This Row],[Référence]]&amp;"",Tbl_Catalogue[],7,FALSE)=0,"-",VLOOKUP(Tbl_Donnees[[#This Row],[Référence]]&amp;"",Tbl_Catalogue[],7,FALSE)),"-")</f>
        <v>INCONNU</v>
      </c>
      <c r="L188" s="5" t="str">
        <f>IFERROR(IF(VLOOKUP(Tbl_Donnees[[#This Row],[Référence]]&amp;"",Tbl_Catalogue[],10,FALSE)=0,"-",VLOOKUP(Tbl_Donnees[[#This Row],[Référence]]&amp;"",Tbl_Catalogue[],10,FALSE)),"-")</f>
        <v>-</v>
      </c>
      <c r="M188" s="2" t="str">
        <f>IFERROR(IF(VLOOKUP(Tbl_Donnees[[#This Row],[Référence]]&amp;"",Tbl_Catalogue[],8,FALSE)=0,"-",VLOOKUP(Tbl_Donnees[[#This Row],[Référence]]&amp;"",Tbl_Catalogue[],8,FALSE)),"-")</f>
        <v>-</v>
      </c>
      <c r="N188" s="5" t="str">
        <f>IFERROR(IF(VLOOKUP(Tbl_Donnees[[#This Row],[Référence]]&amp;"",Tbl_Catalogue[],9,FALSE)=0,"-",VLOOKUP(Tbl_Donnees[[#This Row],[Référence]]&amp;"",Tbl_Catalogue[],9,FALSE)),"-")</f>
        <v>-</v>
      </c>
      <c r="O188" s="5" t="str">
        <f>IFERROR(IF(VLOOKUP(Tbl_Donnees[[#This Row],[Référence]]&amp;"",Tbl_Catalogue[],11,FALSE)=0,"-",VLOOKUP(Tbl_Donnees[[#This Row],[Référence]]&amp;"",Tbl_Catalogue[],11,FALSE)),"-")</f>
        <v>-</v>
      </c>
      <c r="P188" s="2" t="str">
        <f>IFERROR(IF(VLOOKUP(Tbl_Donnees[[#This Row],[Référence]]&amp;"",Tbl_Catalogue[],12,FALSE)=0,"-",VLOOKUP(Tbl_Donnees[[#This Row],[Référence]]&amp;"",Tbl_Catalogue[],12,FALSE)),"-")</f>
        <v>-</v>
      </c>
      <c r="Q188" s="13" t="str">
        <f>IFERROR(IF(VLOOKUP(Tbl_Donnees[[#This Row],[Référence]]&amp;"",Tbl_Catalogue[],13,FALSE)=0,"-",VLOOKUP(Tbl_Donnees[[#This Row],[Référence]]&amp;"",Tbl_Catalogue[],13,FALSE)),"-")</f>
        <v>-</v>
      </c>
      <c r="R188" s="2"/>
    </row>
    <row r="189" spans="1:18" x14ac:dyDescent="0.2">
      <c r="A189" s="2" t="s">
        <v>357</v>
      </c>
      <c r="B189" s="5" t="s">
        <v>359</v>
      </c>
      <c r="C189" s="5" t="s">
        <v>60</v>
      </c>
      <c r="D189" s="6" t="str">
        <f>IFERROR(IF(VLOOKUP(Tbl_Donnees[[#This Row],[Référence]]&amp;"",Tbl_Catalogue[],3,FALSE)=0,"-",VLOOKUP(Tbl_Donnees[[#This Row],[Référence]]&amp;"",Tbl_Catalogue[],3,FALSE)),"-")</f>
        <v xml:space="preserve">MOD. 8 DI/DO 2A SM322 </v>
      </c>
      <c r="E189" s="6">
        <v>3</v>
      </c>
      <c r="F189" s="6" t="str">
        <f>IFERROR(IF(VLOOKUP(Tbl_Donnees[[#This Row],[Référence]]&amp;"",Tbl_Catalogue[],2,FALSE)=0,"-",VLOOKUP(Tbl_Donnees[[#This Row],[Référence]]&amp;"",Tbl_Catalogue[],2,FALSE)),"-")</f>
        <v>SIEMENS</v>
      </c>
      <c r="G189" s="20" t="s">
        <v>418</v>
      </c>
      <c r="H189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89" s="2" t="str">
        <f>IFERROR(IF(VLOOKUP(Tbl_Donnees[[#This Row],[Référence]]&amp;"",Tbl_Catalogue[],5,FALSE)=0,"-",VLOOKUP(Tbl_Donnees[[#This Row],[Référence]]&amp;"",Tbl_Catalogue[],5,FALSE)),"INCONNU")</f>
        <v>RECHANGE</v>
      </c>
      <c r="J18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https://sieportal.siemens.com/fr-fr/products-services/detail/6ES7322-1BF01-0AA0?tree=CatalogTree</v>
      </c>
      <c r="K189" s="2" t="str">
        <f>IFERROR(IF(VLOOKUP(Tbl_Donnees[[#This Row],[Référence]]&amp;"",Tbl_Catalogue[],7,FALSE)=0,"-",VLOOKUP(Tbl_Donnees[[#This Row],[Référence]]&amp;"",Tbl_Catalogue[],7,FALSE)),"-")</f>
        <v>INCONNU</v>
      </c>
      <c r="L189" s="5" t="str">
        <f>IFERROR(IF(VLOOKUP(Tbl_Donnees[[#This Row],[Référence]]&amp;"",Tbl_Catalogue[],10,FALSE)=0,"-",VLOOKUP(Tbl_Donnees[[#This Row],[Référence]]&amp;"",Tbl_Catalogue[],10,FALSE)),"-")</f>
        <v>-</v>
      </c>
      <c r="M189" s="2" t="str">
        <f>IFERROR(IF(VLOOKUP(Tbl_Donnees[[#This Row],[Référence]]&amp;"",Tbl_Catalogue[],8,FALSE)=0,"-",VLOOKUP(Tbl_Donnees[[#This Row],[Référence]]&amp;"",Tbl_Catalogue[],8,FALSE)),"-")</f>
        <v>-</v>
      </c>
      <c r="N189" s="5" t="str">
        <f>IFERROR(IF(VLOOKUP(Tbl_Donnees[[#This Row],[Référence]]&amp;"",Tbl_Catalogue[],9,FALSE)=0,"-",VLOOKUP(Tbl_Donnees[[#This Row],[Référence]]&amp;"",Tbl_Catalogue[],9,FALSE)),"-")</f>
        <v>-</v>
      </c>
      <c r="O189" s="5" t="str">
        <f>IFERROR(IF(VLOOKUP(Tbl_Donnees[[#This Row],[Référence]]&amp;"",Tbl_Catalogue[],11,FALSE)=0,"-",VLOOKUP(Tbl_Donnees[[#This Row],[Référence]]&amp;"",Tbl_Catalogue[],11,FALSE)),"-")</f>
        <v>-</v>
      </c>
      <c r="P189" s="2" t="str">
        <f>IFERROR(IF(VLOOKUP(Tbl_Donnees[[#This Row],[Référence]]&amp;"",Tbl_Catalogue[],12,FALSE)=0,"-",VLOOKUP(Tbl_Donnees[[#This Row],[Référence]]&amp;"",Tbl_Catalogue[],12,FALSE)),"-")</f>
        <v>-</v>
      </c>
      <c r="Q189" s="13" t="str">
        <f>IFERROR(IF(VLOOKUP(Tbl_Donnees[[#This Row],[Référence]]&amp;"",Tbl_Catalogue[],13,FALSE)=0,"-",VLOOKUP(Tbl_Donnees[[#This Row],[Référence]]&amp;"",Tbl_Catalogue[],13,FALSE)),"-")</f>
        <v>-</v>
      </c>
      <c r="R189" s="5"/>
    </row>
    <row r="190" spans="1:18" x14ac:dyDescent="0.2">
      <c r="A190" s="2" t="s">
        <v>357</v>
      </c>
      <c r="B190" s="5" t="s">
        <v>359</v>
      </c>
      <c r="C190" s="5" t="s">
        <v>60</v>
      </c>
      <c r="D190" s="6" t="str">
        <f>IFERROR(IF(VLOOKUP(Tbl_Donnees[[#This Row],[Référence]]&amp;"",Tbl_Catalogue[],3,FALSE)=0,"-",VLOOKUP(Tbl_Donnees[[#This Row],[Référence]]&amp;"",Tbl_Catalogue[],3,FALSE)),"-")</f>
        <v>MOD. 32 DO 24VCC 0.5A SM322</v>
      </c>
      <c r="E190" s="6">
        <v>1</v>
      </c>
      <c r="F190" s="6" t="str">
        <f>IFERROR(IF(VLOOKUP(Tbl_Donnees[[#This Row],[Référence]]&amp;"",Tbl_Catalogue[],2,FALSE)=0,"-",VLOOKUP(Tbl_Donnees[[#This Row],[Référence]]&amp;"",Tbl_Catalogue[],2,FALSE)),"-")</f>
        <v>SIEMENS</v>
      </c>
      <c r="G190" s="20" t="s">
        <v>9</v>
      </c>
      <c r="H190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90" s="2" t="str">
        <f>IFERROR(IF(VLOOKUP(Tbl_Donnees[[#This Row],[Référence]]&amp;"",Tbl_Catalogue[],5,FALSE)=0,"-",VLOOKUP(Tbl_Donnees[[#This Row],[Référence]]&amp;"",Tbl_Catalogue[],5,FALSE)),"INCONNU")</f>
        <v>RECHANGE</v>
      </c>
      <c r="J190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https://sieportal.siemens.com/en-ww/products-services/detail/6ES73221BL000AA0?tree=CatalogTree</v>
      </c>
      <c r="K190" s="2" t="str">
        <f>IFERROR(IF(VLOOKUP(Tbl_Donnees[[#This Row],[Référence]]&amp;"",Tbl_Catalogue[],7,FALSE)=0,"-",VLOOKUP(Tbl_Donnees[[#This Row],[Référence]]&amp;"",Tbl_Catalogue[],7,FALSE)),"-")</f>
        <v>INCONNU</v>
      </c>
      <c r="L190" s="5" t="str">
        <f>IFERROR(IF(VLOOKUP(Tbl_Donnees[[#This Row],[Référence]]&amp;"",Tbl_Catalogue[],10,FALSE)=0,"-",VLOOKUP(Tbl_Donnees[[#This Row],[Référence]]&amp;"",Tbl_Catalogue[],10,FALSE)),"-")</f>
        <v>-</v>
      </c>
      <c r="M190" s="2" t="str">
        <f>IFERROR(IF(VLOOKUP(Tbl_Donnees[[#This Row],[Référence]]&amp;"",Tbl_Catalogue[],8,FALSE)=0,"-",VLOOKUP(Tbl_Donnees[[#This Row],[Référence]]&amp;"",Tbl_Catalogue[],8,FALSE)),"-")</f>
        <v>-</v>
      </c>
      <c r="N190" s="5" t="str">
        <f>IFERROR(IF(VLOOKUP(Tbl_Donnees[[#This Row],[Référence]]&amp;"",Tbl_Catalogue[],9,FALSE)=0,"-",VLOOKUP(Tbl_Donnees[[#This Row],[Référence]]&amp;"",Tbl_Catalogue[],9,FALSE)),"-")</f>
        <v>-</v>
      </c>
      <c r="O190" s="5" t="str">
        <f>IFERROR(IF(VLOOKUP(Tbl_Donnees[[#This Row],[Référence]]&amp;"",Tbl_Catalogue[],11,FALSE)=0,"-",VLOOKUP(Tbl_Donnees[[#This Row],[Référence]]&amp;"",Tbl_Catalogue[],11,FALSE)),"-")</f>
        <v>-</v>
      </c>
      <c r="P190" s="2" t="str">
        <f>IFERROR(IF(VLOOKUP(Tbl_Donnees[[#This Row],[Référence]]&amp;"",Tbl_Catalogue[],12,FALSE)=0,"-",VLOOKUP(Tbl_Donnees[[#This Row],[Référence]]&amp;"",Tbl_Catalogue[],12,FALSE)),"-")</f>
        <v>-</v>
      </c>
      <c r="Q190" s="13" t="str">
        <f>IFERROR(IF(VLOOKUP(Tbl_Donnees[[#This Row],[Référence]]&amp;"",Tbl_Catalogue[],13,FALSE)=0,"-",VLOOKUP(Tbl_Donnees[[#This Row],[Référence]]&amp;"",Tbl_Catalogue[],13,FALSE)),"-")</f>
        <v>-</v>
      </c>
      <c r="R190" s="2"/>
    </row>
    <row r="191" spans="1:18" x14ac:dyDescent="0.2">
      <c r="A191" s="2" t="s">
        <v>357</v>
      </c>
      <c r="B191" s="5" t="s">
        <v>359</v>
      </c>
      <c r="C191" s="5" t="s">
        <v>60</v>
      </c>
      <c r="D191" s="6" t="str">
        <f>IFERROR(IF(VLOOKUP(Tbl_Donnees[[#This Row],[Référence]]&amp;"",Tbl_Catalogue[],3,FALSE)=0,"-",VLOOKUP(Tbl_Donnees[[#This Row],[Référence]]&amp;"",Tbl_Catalogue[],3,FALSE)),"-")</f>
        <v>MOD. 16 DO 24VCC 0.5A SM322</v>
      </c>
      <c r="E191" s="6">
        <v>2</v>
      </c>
      <c r="F191" s="6" t="str">
        <f>IFERROR(IF(VLOOKUP(Tbl_Donnees[[#This Row],[Référence]]&amp;"",Tbl_Catalogue[],2,FALSE)=0,"-",VLOOKUP(Tbl_Donnees[[#This Row],[Référence]]&amp;"",Tbl_Catalogue[],2,FALSE)),"-")</f>
        <v>SIEMENS</v>
      </c>
      <c r="G191" s="20" t="s">
        <v>10</v>
      </c>
      <c r="H191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91" s="2" t="str">
        <f>IFERROR(IF(VLOOKUP(Tbl_Donnees[[#This Row],[Référence]]&amp;"",Tbl_Catalogue[],5,FALSE)=0,"-",VLOOKUP(Tbl_Donnees[[#This Row],[Référence]]&amp;"",Tbl_Catalogue[],5,FALSE)),"INCONNU")</f>
        <v>RECHANGE</v>
      </c>
      <c r="J191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https://sieportal.siemens.com/en-ww/products-services/detail/6ES73221BH010AA0?tree=CatalogTree</v>
      </c>
      <c r="K191" s="2" t="str">
        <f>IFERROR(IF(VLOOKUP(Tbl_Donnees[[#This Row],[Référence]]&amp;"",Tbl_Catalogue[],7,FALSE)=0,"-",VLOOKUP(Tbl_Donnees[[#This Row],[Référence]]&amp;"",Tbl_Catalogue[],7,FALSE)),"-")</f>
        <v>INCONNU</v>
      </c>
      <c r="L191" s="5" t="str">
        <f>IFERROR(IF(VLOOKUP(Tbl_Donnees[[#This Row],[Référence]]&amp;"",Tbl_Catalogue[],10,FALSE)=0,"-",VLOOKUP(Tbl_Donnees[[#This Row],[Référence]]&amp;"",Tbl_Catalogue[],10,FALSE)),"-")</f>
        <v>-</v>
      </c>
      <c r="M191" s="2" t="str">
        <f>IFERROR(IF(VLOOKUP(Tbl_Donnees[[#This Row],[Référence]]&amp;"",Tbl_Catalogue[],8,FALSE)=0,"-",VLOOKUP(Tbl_Donnees[[#This Row],[Référence]]&amp;"",Tbl_Catalogue[],8,FALSE)),"-")</f>
        <v>-</v>
      </c>
      <c r="N191" s="5" t="str">
        <f>IFERROR(IF(VLOOKUP(Tbl_Donnees[[#This Row],[Référence]]&amp;"",Tbl_Catalogue[],9,FALSE)=0,"-",VLOOKUP(Tbl_Donnees[[#This Row],[Référence]]&amp;"",Tbl_Catalogue[],9,FALSE)),"-")</f>
        <v>-</v>
      </c>
      <c r="O191" s="5" t="str">
        <f>IFERROR(IF(VLOOKUP(Tbl_Donnees[[#This Row],[Référence]]&amp;"",Tbl_Catalogue[],11,FALSE)=0,"-",VLOOKUP(Tbl_Donnees[[#This Row],[Référence]]&amp;"",Tbl_Catalogue[],11,FALSE)),"-")</f>
        <v>-</v>
      </c>
      <c r="P191" s="2" t="str">
        <f>IFERROR(IF(VLOOKUP(Tbl_Donnees[[#This Row],[Référence]]&amp;"",Tbl_Catalogue[],12,FALSE)=0,"-",VLOOKUP(Tbl_Donnees[[#This Row],[Référence]]&amp;"",Tbl_Catalogue[],12,FALSE)),"-")</f>
        <v>-</v>
      </c>
      <c r="Q191" s="13" t="str">
        <f>IFERROR(IF(VLOOKUP(Tbl_Donnees[[#This Row],[Référence]]&amp;"",Tbl_Catalogue[],13,FALSE)=0,"-",VLOOKUP(Tbl_Donnees[[#This Row],[Référence]]&amp;"",Tbl_Catalogue[],13,FALSE)),"-")</f>
        <v>-</v>
      </c>
      <c r="R191" s="5"/>
    </row>
    <row r="192" spans="1:18" x14ac:dyDescent="0.2">
      <c r="A192" s="2" t="s">
        <v>357</v>
      </c>
      <c r="B192" s="5" t="s">
        <v>359</v>
      </c>
      <c r="C192" s="5" t="s">
        <v>60</v>
      </c>
      <c r="D192" s="6" t="str">
        <f>IFERROR(IF(VLOOKUP(Tbl_Donnees[[#This Row],[Référence]]&amp;"",Tbl_Catalogue[],3,FALSE)=0,"-",VLOOKUP(Tbl_Donnees[[#This Row],[Référence]]&amp;"",Tbl_Catalogue[],3,FALSE)),"-")</f>
        <v>PLC S7-300 CPU 315</v>
      </c>
      <c r="E192" s="6">
        <v>1</v>
      </c>
      <c r="F192" s="6" t="str">
        <f>IFERROR(IF(VLOOKUP(Tbl_Donnees[[#This Row],[Référence]]&amp;"",Tbl_Catalogue[],2,FALSE)=0,"-",VLOOKUP(Tbl_Donnees[[#This Row],[Référence]]&amp;"",Tbl_Catalogue[],2,FALSE)),"-")</f>
        <v>SIEMENS</v>
      </c>
      <c r="G192" s="20" t="s">
        <v>419</v>
      </c>
      <c r="H192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92" s="2" t="str">
        <f>IFERROR(IF(VLOOKUP(Tbl_Donnees[[#This Row],[Référence]]&amp;"",Tbl_Catalogue[],5,FALSE)=0,"-",VLOOKUP(Tbl_Donnees[[#This Row],[Référence]]&amp;"",Tbl_Catalogue[],5,FALSE)),"INCONNU")</f>
        <v>RECHANGE</v>
      </c>
      <c r="J19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https://sieportal.siemens.com/fr-fr/products-services/detail/6ES7315-2AH14-0AB0?tree=CatalogTree</v>
      </c>
      <c r="K192" s="2" t="str">
        <f>IFERROR(IF(VLOOKUP(Tbl_Donnees[[#This Row],[Référence]]&amp;"",Tbl_Catalogue[],7,FALSE)=0,"-",VLOOKUP(Tbl_Donnees[[#This Row],[Référence]]&amp;"",Tbl_Catalogue[],7,FALSE)),"-")</f>
        <v>INCONNU</v>
      </c>
      <c r="L192" s="5" t="str">
        <f>IFERROR(IF(VLOOKUP(Tbl_Donnees[[#This Row],[Référence]]&amp;"",Tbl_Catalogue[],10,FALSE)=0,"-",VLOOKUP(Tbl_Donnees[[#This Row],[Référence]]&amp;"",Tbl_Catalogue[],10,FALSE)),"-")</f>
        <v>-</v>
      </c>
      <c r="M192" s="2" t="str">
        <f>IFERROR(IF(VLOOKUP(Tbl_Donnees[[#This Row],[Référence]]&amp;"",Tbl_Catalogue[],8,FALSE)=0,"-",VLOOKUP(Tbl_Donnees[[#This Row],[Référence]]&amp;"",Tbl_Catalogue[],8,FALSE)),"-")</f>
        <v>-</v>
      </c>
      <c r="N192" s="5" t="str">
        <f>IFERROR(IF(VLOOKUP(Tbl_Donnees[[#This Row],[Référence]]&amp;"",Tbl_Catalogue[],9,FALSE)=0,"-",VLOOKUP(Tbl_Donnees[[#This Row],[Référence]]&amp;"",Tbl_Catalogue[],9,FALSE)),"-")</f>
        <v>-</v>
      </c>
      <c r="O192" s="5" t="str">
        <f>IFERROR(IF(VLOOKUP(Tbl_Donnees[[#This Row],[Référence]]&amp;"",Tbl_Catalogue[],11,FALSE)=0,"-",VLOOKUP(Tbl_Donnees[[#This Row],[Référence]]&amp;"",Tbl_Catalogue[],11,FALSE)),"-")</f>
        <v>-</v>
      </c>
      <c r="P192" s="2" t="str">
        <f>IFERROR(IF(VLOOKUP(Tbl_Donnees[[#This Row],[Référence]]&amp;"",Tbl_Catalogue[],12,FALSE)=0,"-",VLOOKUP(Tbl_Donnees[[#This Row],[Référence]]&amp;"",Tbl_Catalogue[],12,FALSE)),"-")</f>
        <v>-</v>
      </c>
      <c r="Q192" s="13" t="str">
        <f>IFERROR(IF(VLOOKUP(Tbl_Donnees[[#This Row],[Référence]]&amp;"",Tbl_Catalogue[],13,FALSE)=0,"-",VLOOKUP(Tbl_Donnees[[#This Row],[Référence]]&amp;"",Tbl_Catalogue[],13,FALSE)),"-")</f>
        <v>-</v>
      </c>
      <c r="R192" s="2"/>
    </row>
    <row r="193" spans="1:18" x14ac:dyDescent="0.2">
      <c r="A193" s="2" t="s">
        <v>357</v>
      </c>
      <c r="B193" s="5" t="s">
        <v>359</v>
      </c>
      <c r="C193" s="5" t="s">
        <v>60</v>
      </c>
      <c r="D193" s="6" t="str">
        <f>IFERROR(IF(VLOOKUP(Tbl_Donnees[[#This Row],[Référence]]&amp;"",Tbl_Catalogue[],3,FALSE)=0,"-",VLOOKUP(Tbl_Donnees[[#This Row],[Référence]]&amp;"",Tbl_Catalogue[],3,FALSE)),"-")</f>
        <v>MOD. 4 AO 11/12BIT SM332</v>
      </c>
      <c r="E193" s="6">
        <v>1</v>
      </c>
      <c r="F193" s="6" t="str">
        <f>IFERROR(IF(VLOOKUP(Tbl_Donnees[[#This Row],[Référence]]&amp;"",Tbl_Catalogue[],2,FALSE)=0,"-",VLOOKUP(Tbl_Donnees[[#This Row],[Référence]]&amp;"",Tbl_Catalogue[],2,FALSE)),"-")</f>
        <v>SIEMENS</v>
      </c>
      <c r="G193" s="20" t="s">
        <v>422</v>
      </c>
      <c r="H193" s="6" t="str">
        <f>IFERROR(IF(VLOOKUP(Tbl_Donnees[[#This Row],[Référence]]&amp;"",Tbl_Catalogue[],4,FALSE)=0,"-",VLOOKUP(Tbl_Donnees[[#This Row],[Référence]]&amp;"",Tbl_Catalogue[],4,FALSE)),"-")</f>
        <v>Pièce de rechange (01/10/2025)</v>
      </c>
      <c r="I193" s="2" t="str">
        <f>IFERROR(IF(VLOOKUP(Tbl_Donnees[[#This Row],[Référence]]&amp;"",Tbl_Catalogue[],5,FALSE)=0,"-",VLOOKUP(Tbl_Donnees[[#This Row],[Référence]]&amp;"",Tbl_Catalogue[],5,FALSE)),"INCONNU")</f>
        <v>RECHANGE</v>
      </c>
      <c r="J19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https://sieportal.siemens.com/fr-fr/products-services/detail/6ES7332-5HD01-0AB0?tree=CatalogTree</v>
      </c>
      <c r="K193" s="2" t="str">
        <f>IFERROR(IF(VLOOKUP(Tbl_Donnees[[#This Row],[Référence]]&amp;"",Tbl_Catalogue[],7,FALSE)=0,"-",VLOOKUP(Tbl_Donnees[[#This Row],[Référence]]&amp;"",Tbl_Catalogue[],7,FALSE)),"-")</f>
        <v>INCONNU</v>
      </c>
      <c r="L193" s="5" t="str">
        <f>IFERROR(IF(VLOOKUP(Tbl_Donnees[[#This Row],[Référence]]&amp;"",Tbl_Catalogue[],10,FALSE)=0,"-",VLOOKUP(Tbl_Donnees[[#This Row],[Référence]]&amp;"",Tbl_Catalogue[],10,FALSE)),"-")</f>
        <v>-</v>
      </c>
      <c r="M193" s="2" t="str">
        <f>IFERROR(IF(VLOOKUP(Tbl_Donnees[[#This Row],[Référence]]&amp;"",Tbl_Catalogue[],8,FALSE)=0,"-",VLOOKUP(Tbl_Donnees[[#This Row],[Référence]]&amp;"",Tbl_Catalogue[],8,FALSE)),"-")</f>
        <v>-</v>
      </c>
      <c r="N193" s="5" t="str">
        <f>IFERROR(IF(VLOOKUP(Tbl_Donnees[[#This Row],[Référence]]&amp;"",Tbl_Catalogue[],9,FALSE)=0,"-",VLOOKUP(Tbl_Donnees[[#This Row],[Référence]]&amp;"",Tbl_Catalogue[],9,FALSE)),"-")</f>
        <v>-</v>
      </c>
      <c r="O193" s="5" t="str">
        <f>IFERROR(IF(VLOOKUP(Tbl_Donnees[[#This Row],[Référence]]&amp;"",Tbl_Catalogue[],11,FALSE)=0,"-",VLOOKUP(Tbl_Donnees[[#This Row],[Référence]]&amp;"",Tbl_Catalogue[],11,FALSE)),"-")</f>
        <v>-</v>
      </c>
      <c r="P193" s="2" t="str">
        <f>IFERROR(IF(VLOOKUP(Tbl_Donnees[[#This Row],[Référence]]&amp;"",Tbl_Catalogue[],12,FALSE)=0,"-",VLOOKUP(Tbl_Donnees[[#This Row],[Référence]]&amp;"",Tbl_Catalogue[],12,FALSE)),"-")</f>
        <v>-</v>
      </c>
      <c r="Q193" s="13" t="str">
        <f>IFERROR(IF(VLOOKUP(Tbl_Donnees[[#This Row],[Référence]]&amp;"",Tbl_Catalogue[],13,FALSE)=0,"-",VLOOKUP(Tbl_Donnees[[#This Row],[Référence]]&amp;"",Tbl_Catalogue[],13,FALSE)),"-")</f>
        <v>-</v>
      </c>
      <c r="R193" s="5"/>
    </row>
    <row r="194" spans="1:18" x14ac:dyDescent="0.2">
      <c r="A194" s="2" t="s">
        <v>357</v>
      </c>
      <c r="B194" s="5" t="s">
        <v>359</v>
      </c>
      <c r="C194" s="5" t="s">
        <v>60</v>
      </c>
      <c r="D194" s="6" t="str">
        <f>IFERROR(IF(VLOOKUP(Tbl_Donnees[[#This Row],[Référence]]&amp;"",Tbl_Catalogue[],3,FALSE)=0,"-",VLOOKUP(Tbl_Donnees[[#This Row],[Référence]]&amp;"",Tbl_Catalogue[],3,FALSE)),"-")</f>
        <v xml:space="preserve">MOD. POSITIONNEM. FM354 </v>
      </c>
      <c r="E194" s="6">
        <v>2</v>
      </c>
      <c r="F194" s="6" t="str">
        <f>IFERROR(IF(VLOOKUP(Tbl_Donnees[[#This Row],[Référence]]&amp;"",Tbl_Catalogue[],2,FALSE)=0,"-",VLOOKUP(Tbl_Donnees[[#This Row],[Référence]]&amp;"",Tbl_Catalogue[],2,FALSE)),"-")</f>
        <v>SIEMENS</v>
      </c>
      <c r="G194" s="20" t="s">
        <v>423</v>
      </c>
      <c r="H194" s="6" t="str">
        <f>IFERROR(IF(VLOOKUP(Tbl_Donnees[[#This Row],[Référence]]&amp;"",Tbl_Catalogue[],4,FALSE)=0,"-",VLOOKUP(Tbl_Donnees[[#This Row],[Référence]]&amp;"",Tbl_Catalogue[],4,FALSE)),"-")</f>
        <v>Pièce de rechange (01/03/2017)</v>
      </c>
      <c r="I194" s="2" t="str">
        <f>IFERROR(IF(VLOOKUP(Tbl_Donnees[[#This Row],[Référence]]&amp;"",Tbl_Catalogue[],5,FALSE)=0,"-",VLOOKUP(Tbl_Donnees[[#This Row],[Référence]]&amp;"",Tbl_Catalogue[],5,FALSE)),"INCONNU")</f>
        <v>RECHANGE</v>
      </c>
      <c r="J19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https://sieportal.siemens.com/fr-fr/products-services/detail/6ES7354-1AH01-0AE0?tree=CatalogTree</v>
      </c>
      <c r="K194" s="2" t="str">
        <f>IFERROR(IF(VLOOKUP(Tbl_Donnees[[#This Row],[Référence]]&amp;"",Tbl_Catalogue[],7,FALSE)=0,"-",VLOOKUP(Tbl_Donnees[[#This Row],[Référence]]&amp;"",Tbl_Catalogue[],7,FALSE)),"-")</f>
        <v>INCONNU</v>
      </c>
      <c r="L194" s="5" t="str">
        <f>IFERROR(IF(VLOOKUP(Tbl_Donnees[[#This Row],[Référence]]&amp;"",Tbl_Catalogue[],10,FALSE)=0,"-",VLOOKUP(Tbl_Donnees[[#This Row],[Référence]]&amp;"",Tbl_Catalogue[],10,FALSE)),"-")</f>
        <v>-</v>
      </c>
      <c r="M194" s="2" t="str">
        <f>IFERROR(IF(VLOOKUP(Tbl_Donnees[[#This Row],[Référence]]&amp;"",Tbl_Catalogue[],8,FALSE)=0,"-",VLOOKUP(Tbl_Donnees[[#This Row],[Référence]]&amp;"",Tbl_Catalogue[],8,FALSE)),"-")</f>
        <v>-</v>
      </c>
      <c r="N194" s="5" t="str">
        <f>IFERROR(IF(VLOOKUP(Tbl_Donnees[[#This Row],[Référence]]&amp;"",Tbl_Catalogue[],9,FALSE)=0,"-",VLOOKUP(Tbl_Donnees[[#This Row],[Référence]]&amp;"",Tbl_Catalogue[],9,FALSE)),"-")</f>
        <v>-</v>
      </c>
      <c r="O194" s="5" t="str">
        <f>IFERROR(IF(VLOOKUP(Tbl_Donnees[[#This Row],[Référence]]&amp;"",Tbl_Catalogue[],11,FALSE)=0,"-",VLOOKUP(Tbl_Donnees[[#This Row],[Référence]]&amp;"",Tbl_Catalogue[],11,FALSE)),"-")</f>
        <v>-</v>
      </c>
      <c r="P194" s="2" t="str">
        <f>IFERROR(IF(VLOOKUP(Tbl_Donnees[[#This Row],[Référence]]&amp;"",Tbl_Catalogue[],12,FALSE)=0,"-",VLOOKUP(Tbl_Donnees[[#This Row],[Référence]]&amp;"",Tbl_Catalogue[],12,FALSE)),"-")</f>
        <v>-</v>
      </c>
      <c r="Q194" s="13" t="str">
        <f>IFERROR(IF(VLOOKUP(Tbl_Donnees[[#This Row],[Référence]]&amp;"",Tbl_Catalogue[],13,FALSE)=0,"-",VLOOKUP(Tbl_Donnees[[#This Row],[Référence]]&amp;"",Tbl_Catalogue[],13,FALSE)),"-")</f>
        <v>-</v>
      </c>
      <c r="R194" s="2"/>
    </row>
    <row r="195" spans="1:18" x14ac:dyDescent="0.2">
      <c r="A195" s="2" t="s">
        <v>357</v>
      </c>
      <c r="B195" s="5" t="s">
        <v>359</v>
      </c>
      <c r="C195" s="5" t="s">
        <v>60</v>
      </c>
      <c r="D195" s="6" t="str">
        <f>IFERROR(IF(VLOOKUP(Tbl_Donnees[[#This Row],[Référence]]&amp;"",Tbl_Catalogue[],3,FALSE)=0,"-",VLOOKUP(Tbl_Donnees[[#This Row],[Référence]]&amp;"",Tbl_Catalogue[],3,FALSE)),"-")</f>
        <v>PUPITRE IHM OP 277 6"</v>
      </c>
      <c r="E195" s="6">
        <v>1</v>
      </c>
      <c r="F195" s="6" t="str">
        <f>IFERROR(IF(VLOOKUP(Tbl_Donnees[[#This Row],[Référence]]&amp;"",Tbl_Catalogue[],2,FALSE)=0,"-",VLOOKUP(Tbl_Donnees[[#This Row],[Référence]]&amp;"",Tbl_Catalogue[],2,FALSE)),"-")</f>
        <v>SIEMENS</v>
      </c>
      <c r="G195" s="20" t="s">
        <v>425</v>
      </c>
      <c r="H195" s="6" t="str">
        <f>IFERROR(IF(VLOOKUP(Tbl_Donnees[[#This Row],[Référence]]&amp;"",Tbl_Catalogue[],4,FALSE)=0,"-",VLOOKUP(Tbl_Donnees[[#This Row],[Référence]]&amp;"",Tbl_Catalogue[],4,FALSE)),"-")</f>
        <v>Pièce de rechange (01/10/2021)</v>
      </c>
      <c r="I195" s="2" t="str">
        <f>IFERROR(IF(VLOOKUP(Tbl_Donnees[[#This Row],[Référence]]&amp;"",Tbl_Catalogue[],5,FALSE)=0,"-",VLOOKUP(Tbl_Donnees[[#This Row],[Référence]]&amp;"",Tbl_Catalogue[],5,FALSE)),"INCONNU")</f>
        <v>RECHANGE</v>
      </c>
      <c r="J19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https://sieportal.siemens.com/fr-fr/products-services/detail/6AV6643-0BA01-1AX0?tree=CatalogTree</v>
      </c>
      <c r="K195" s="2" t="str">
        <f>IFERROR(IF(VLOOKUP(Tbl_Donnees[[#This Row],[Référence]]&amp;"",Tbl_Catalogue[],7,FALSE)=0,"-",VLOOKUP(Tbl_Donnees[[#This Row],[Référence]]&amp;"",Tbl_Catalogue[],7,FALSE)),"-")</f>
        <v>INCONNU</v>
      </c>
      <c r="L195" s="5" t="str">
        <f>IFERROR(IF(VLOOKUP(Tbl_Donnees[[#This Row],[Référence]]&amp;"",Tbl_Catalogue[],10,FALSE)=0,"-",VLOOKUP(Tbl_Donnees[[#This Row],[Référence]]&amp;"",Tbl_Catalogue[],10,FALSE)),"-")</f>
        <v>-</v>
      </c>
      <c r="M195" s="2" t="str">
        <f>IFERROR(IF(VLOOKUP(Tbl_Donnees[[#This Row],[Référence]]&amp;"",Tbl_Catalogue[],8,FALSE)=0,"-",VLOOKUP(Tbl_Donnees[[#This Row],[Référence]]&amp;"",Tbl_Catalogue[],8,FALSE)),"-")</f>
        <v>-</v>
      </c>
      <c r="N195" s="5" t="str">
        <f>IFERROR(IF(VLOOKUP(Tbl_Donnees[[#This Row],[Référence]]&amp;"",Tbl_Catalogue[],9,FALSE)=0,"-",VLOOKUP(Tbl_Donnees[[#This Row],[Référence]]&amp;"",Tbl_Catalogue[],9,FALSE)),"-")</f>
        <v>-</v>
      </c>
      <c r="O195" s="5" t="str">
        <f>IFERROR(IF(VLOOKUP(Tbl_Donnees[[#This Row],[Référence]]&amp;"",Tbl_Catalogue[],11,FALSE)=0,"-",VLOOKUP(Tbl_Donnees[[#This Row],[Référence]]&amp;"",Tbl_Catalogue[],11,FALSE)),"-")</f>
        <v>-</v>
      </c>
      <c r="P195" s="2" t="str">
        <f>IFERROR(IF(VLOOKUP(Tbl_Donnees[[#This Row],[Référence]]&amp;"",Tbl_Catalogue[],12,FALSE)=0,"-",VLOOKUP(Tbl_Donnees[[#This Row],[Référence]]&amp;"",Tbl_Catalogue[],12,FALSE)),"-")</f>
        <v>-</v>
      </c>
      <c r="Q195" s="13" t="str">
        <f>IFERROR(IF(VLOOKUP(Tbl_Donnees[[#This Row],[Référence]]&amp;"",Tbl_Catalogue[],13,FALSE)=0,"-",VLOOKUP(Tbl_Donnees[[#This Row],[Référence]]&amp;"",Tbl_Catalogue[],13,FALSE)),"-")</f>
        <v>-</v>
      </c>
      <c r="R195" s="5"/>
    </row>
    <row r="196" spans="1:18" x14ac:dyDescent="0.2">
      <c r="A196" s="2" t="s">
        <v>357</v>
      </c>
      <c r="B196" s="5" t="s">
        <v>359</v>
      </c>
      <c r="C196" s="5" t="s">
        <v>60</v>
      </c>
      <c r="D196" s="6" t="str">
        <f>IFERROR(IF(VLOOKUP(Tbl_Donnees[[#This Row],[Référence]]&amp;"",Tbl_Catalogue[],3,FALSE)=0,"-",VLOOKUP(Tbl_Donnees[[#This Row],[Référence]]&amp;"",Tbl_Catalogue[],3,FALSE)),"-")</f>
        <v>MOTEUR ASYNCHRONE 1PH7</v>
      </c>
      <c r="E196" s="6">
        <v>1</v>
      </c>
      <c r="F196" s="6" t="str">
        <f>IFERROR(IF(VLOOKUP(Tbl_Donnees[[#This Row],[Référence]]&amp;"",Tbl_Catalogue[],2,FALSE)=0,"-",VLOOKUP(Tbl_Donnees[[#This Row],[Référence]]&amp;"",Tbl_Catalogue[],2,FALSE)),"-")</f>
        <v>SIEMENS</v>
      </c>
      <c r="G196" s="20" t="s">
        <v>435</v>
      </c>
      <c r="H196" s="6" t="str">
        <f>IFERROR(IF(VLOOKUP(Tbl_Donnees[[#This Row],[Référence]]&amp;"",Tbl_Catalogue[],4,FALSE)=0,"-",VLOOKUP(Tbl_Donnees[[#This Row],[Référence]]&amp;"",Tbl_Catalogue[],4,FALSE)),"-")</f>
        <v>Pièce de rechange (01/10/2015)</v>
      </c>
      <c r="I196" s="2" t="str">
        <f>IFERROR(IF(VLOOKUP(Tbl_Donnees[[#This Row],[Référence]]&amp;"",Tbl_Catalogue[],5,FALSE)=0,"-",VLOOKUP(Tbl_Donnees[[#This Row],[Référence]]&amp;"",Tbl_Catalogue[],5,FALSE)),"INCONNU")</f>
        <v>RECHANGE</v>
      </c>
      <c r="J196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https://sieportal.siemens.com/fr-fr/products-services/detail/1PH7137-2ND22-0CA2?tree=CatalogTree</v>
      </c>
      <c r="K196" s="2" t="str">
        <f>IFERROR(IF(VLOOKUP(Tbl_Donnees[[#This Row],[Référence]]&amp;"",Tbl_Catalogue[],7,FALSE)=0,"-",VLOOKUP(Tbl_Donnees[[#This Row],[Référence]]&amp;"",Tbl_Catalogue[],7,FALSE)),"-")</f>
        <v>INCONNU</v>
      </c>
      <c r="L196" s="5" t="str">
        <f>IFERROR(IF(VLOOKUP(Tbl_Donnees[[#This Row],[Référence]]&amp;"",Tbl_Catalogue[],10,FALSE)=0,"-",VLOOKUP(Tbl_Donnees[[#This Row],[Référence]]&amp;"",Tbl_Catalogue[],10,FALSE)),"-")</f>
        <v>-</v>
      </c>
      <c r="M196" s="2" t="str">
        <f>IFERROR(IF(VLOOKUP(Tbl_Donnees[[#This Row],[Référence]]&amp;"",Tbl_Catalogue[],8,FALSE)=0,"-",VLOOKUP(Tbl_Donnees[[#This Row],[Référence]]&amp;"",Tbl_Catalogue[],8,FALSE)),"-")</f>
        <v>-</v>
      </c>
      <c r="N196" s="5" t="str">
        <f>IFERROR(IF(VLOOKUP(Tbl_Donnees[[#This Row],[Référence]]&amp;"",Tbl_Catalogue[],9,FALSE)=0,"-",VLOOKUP(Tbl_Donnees[[#This Row],[Référence]]&amp;"",Tbl_Catalogue[],9,FALSE)),"-")</f>
        <v>-</v>
      </c>
      <c r="O196" s="5" t="str">
        <f>IFERROR(IF(VLOOKUP(Tbl_Donnees[[#This Row],[Référence]]&amp;"",Tbl_Catalogue[],11,FALSE)=0,"-",VLOOKUP(Tbl_Donnees[[#This Row],[Référence]]&amp;"",Tbl_Catalogue[],11,FALSE)),"-")</f>
        <v>-</v>
      </c>
      <c r="P196" s="2" t="str">
        <f>IFERROR(IF(VLOOKUP(Tbl_Donnees[[#This Row],[Référence]]&amp;"",Tbl_Catalogue[],12,FALSE)=0,"-",VLOOKUP(Tbl_Donnees[[#This Row],[Référence]]&amp;"",Tbl_Catalogue[],12,FALSE)),"-")</f>
        <v>-</v>
      </c>
      <c r="Q196" s="13" t="str">
        <f>IFERROR(IF(VLOOKUP(Tbl_Donnees[[#This Row],[Référence]]&amp;"",Tbl_Catalogue[],13,FALSE)=0,"-",VLOOKUP(Tbl_Donnees[[#This Row],[Référence]]&amp;"",Tbl_Catalogue[],13,FALSE)),"-")</f>
        <v>-</v>
      </c>
      <c r="R196" s="2"/>
    </row>
    <row r="197" spans="1:18" x14ac:dyDescent="0.2">
      <c r="A197" s="2" t="s">
        <v>357</v>
      </c>
      <c r="B197" s="5" t="s">
        <v>359</v>
      </c>
      <c r="C197" s="5" t="s">
        <v>60</v>
      </c>
      <c r="D197" s="6" t="str">
        <f>IFERROR(IF(VLOOKUP(Tbl_Donnees[[#This Row],[Référence]]&amp;"",Tbl_Catalogue[],3,FALSE)=0,"-",VLOOKUP(Tbl_Donnees[[#This Row],[Référence]]&amp;"",Tbl_Catalogue[],3,FALSE)),"-")</f>
        <v>RAIL SUPPORT S7-300 482MM</v>
      </c>
      <c r="E197" s="6">
        <v>1</v>
      </c>
      <c r="F197" s="6" t="str">
        <f>IFERROR(IF(VLOOKUP(Tbl_Donnees[[#This Row],[Référence]]&amp;"",Tbl_Catalogue[],2,FALSE)=0,"-",VLOOKUP(Tbl_Donnees[[#This Row],[Référence]]&amp;"",Tbl_Catalogue[],2,FALSE)),"-")</f>
        <v>SIEMENS</v>
      </c>
      <c r="G197" s="20" t="s">
        <v>429</v>
      </c>
      <c r="H197" s="6" t="str">
        <f>IFERROR(IF(VLOOKUP(Tbl_Donnees[[#This Row],[Référence]]&amp;"",Tbl_Catalogue[],4,FALSE)=0,"-",VLOOKUP(Tbl_Donnees[[#This Row],[Référence]]&amp;"",Tbl_Catalogue[],4,FALSE)),"-")</f>
        <v>Fin de commercialisation active (01/10/2023)</v>
      </c>
      <c r="I197" s="2" t="str">
        <f>IFERROR(IF(VLOOKUP(Tbl_Donnees[[#This Row],[Référence]]&amp;"",Tbl_Catalogue[],5,FALSE)=0,"-",VLOOKUP(Tbl_Donnees[[#This Row],[Référence]]&amp;"",Tbl_Catalogue[],5,FALSE)),"INCONNU")</f>
        <v>PHASE OUT</v>
      </c>
      <c r="J197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https://sieportal.siemens.com/fr-fr/products-services/detail/6ES7390-1AE80-0AA0?tree=CatalogTree#overview</v>
      </c>
      <c r="K197" s="2" t="str">
        <f>IFERROR(IF(VLOOKUP(Tbl_Donnees[[#This Row],[Référence]]&amp;"",Tbl_Catalogue[],7,FALSE)=0,"-",VLOOKUP(Tbl_Donnees[[#This Row],[Référence]]&amp;"",Tbl_Catalogue[],7,FALSE)),"-")</f>
        <v>INCONNU</v>
      </c>
      <c r="L197" s="5" t="str">
        <f>IFERROR(IF(VLOOKUP(Tbl_Donnees[[#This Row],[Référence]]&amp;"",Tbl_Catalogue[],10,FALSE)=0,"-",VLOOKUP(Tbl_Donnees[[#This Row],[Référence]]&amp;"",Tbl_Catalogue[],10,FALSE)),"-")</f>
        <v>-</v>
      </c>
      <c r="M197" s="2" t="str">
        <f>IFERROR(IF(VLOOKUP(Tbl_Donnees[[#This Row],[Référence]]&amp;"",Tbl_Catalogue[],8,FALSE)=0,"-",VLOOKUP(Tbl_Donnees[[#This Row],[Référence]]&amp;"",Tbl_Catalogue[],8,FALSE)),"-")</f>
        <v>-</v>
      </c>
      <c r="N197" s="5" t="str">
        <f>IFERROR(IF(VLOOKUP(Tbl_Donnees[[#This Row],[Référence]]&amp;"",Tbl_Catalogue[],9,FALSE)=0,"-",VLOOKUP(Tbl_Donnees[[#This Row],[Référence]]&amp;"",Tbl_Catalogue[],9,FALSE)),"-")</f>
        <v>-</v>
      </c>
      <c r="O197" s="5" t="str">
        <f>IFERROR(IF(VLOOKUP(Tbl_Donnees[[#This Row],[Référence]]&amp;"",Tbl_Catalogue[],11,FALSE)=0,"-",VLOOKUP(Tbl_Donnees[[#This Row],[Référence]]&amp;"",Tbl_Catalogue[],11,FALSE)),"-")</f>
        <v>-</v>
      </c>
      <c r="P197" s="2" t="str">
        <f>IFERROR(IF(VLOOKUP(Tbl_Donnees[[#This Row],[Référence]]&amp;"",Tbl_Catalogue[],12,FALSE)=0,"-",VLOOKUP(Tbl_Donnees[[#This Row],[Référence]]&amp;"",Tbl_Catalogue[],12,FALSE)),"-")</f>
        <v>-</v>
      </c>
      <c r="Q197" s="13" t="str">
        <f>IFERROR(IF(VLOOKUP(Tbl_Donnees[[#This Row],[Référence]]&amp;"",Tbl_Catalogue[],13,FALSE)=0,"-",VLOOKUP(Tbl_Donnees[[#This Row],[Référence]]&amp;"",Tbl_Catalogue[],13,FALSE)),"-")</f>
        <v>-</v>
      </c>
      <c r="R197" s="5"/>
    </row>
    <row r="198" spans="1:18" x14ac:dyDescent="0.2">
      <c r="A198" s="2" t="s">
        <v>357</v>
      </c>
      <c r="B198" s="5" t="s">
        <v>359</v>
      </c>
      <c r="C198" s="5" t="s">
        <v>60</v>
      </c>
      <c r="D198" s="6" t="str">
        <f>IFERROR(IF(VLOOKUP(Tbl_Donnees[[#This Row],[Référence]]&amp;"",Tbl_Catalogue[],3,FALSE)=0,"-",VLOOKUP(Tbl_Donnees[[#This Row],[Référence]]&amp;"",Tbl_Catalogue[],3,FALSE)),"-")</f>
        <v>ALIM. SIMODRIVE 611 16/21 KW</v>
      </c>
      <c r="E198" s="6">
        <v>1</v>
      </c>
      <c r="F198" s="6" t="str">
        <f>IFERROR(IF(VLOOKUP(Tbl_Donnees[[#This Row],[Référence]]&amp;"",Tbl_Catalogue[],2,FALSE)=0,"-",VLOOKUP(Tbl_Donnees[[#This Row],[Référence]]&amp;"",Tbl_Catalogue[],2,FALSE)),"-")</f>
        <v>SIEMENS</v>
      </c>
      <c r="G198" s="20" t="s">
        <v>380</v>
      </c>
      <c r="H198" s="6" t="str">
        <f>IFERROR(IF(VLOOKUP(Tbl_Donnees[[#This Row],[Référence]]&amp;"",Tbl_Catalogue[],4,FALSE)=0,"-",VLOOKUP(Tbl_Donnees[[#This Row],[Référence]]&amp;"",Tbl_Catalogue[],4,FALSE)),"-")</f>
        <v>Produit obsolète (30/09/2014)</v>
      </c>
      <c r="I198" s="2" t="str">
        <f>IFERROR(IF(VLOOKUP(Tbl_Donnees[[#This Row],[Référence]]&amp;"",Tbl_Catalogue[],5,FALSE)=0,"-",VLOOKUP(Tbl_Donnees[[#This Row],[Référence]]&amp;"",Tbl_Catalogue[],5,FALSE)),"INCONNU")</f>
        <v>OBSOLETE</v>
      </c>
      <c r="J198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https://sieportal.siemens.com/fr-fr/products-services/detail/6SN1145-1BA01-0BA1?tree=CatalogTree</v>
      </c>
      <c r="K198" s="2" t="str">
        <f>IFERROR(IF(VLOOKUP(Tbl_Donnees[[#This Row],[Référence]]&amp;"",Tbl_Catalogue[],7,FALSE)=0,"-",VLOOKUP(Tbl_Donnees[[#This Row],[Référence]]&amp;"",Tbl_Catalogue[],7,FALSE)),"-")</f>
        <v>OUI</v>
      </c>
      <c r="L198" s="5" t="str">
        <f>IFERROR(IF(VLOOKUP(Tbl_Donnees[[#This Row],[Référence]]&amp;"",Tbl_Catalogue[],10,FALSE)=0,"-",VLOOKUP(Tbl_Donnees[[#This Row],[Référence]]&amp;"",Tbl_Catalogue[],10,FALSE)),"-")</f>
        <v>-</v>
      </c>
      <c r="M198" s="2" t="str">
        <f>IFERROR(IF(VLOOKUP(Tbl_Donnees[[#This Row],[Référence]]&amp;"",Tbl_Catalogue[],8,FALSE)=0,"-",VLOOKUP(Tbl_Donnees[[#This Row],[Référence]]&amp;"",Tbl_Catalogue[],8,FALSE)),"-")</f>
        <v>6SN1145-1BA01-0BA2</v>
      </c>
      <c r="N198" s="5" t="str">
        <f>IFERROR(IF(VLOOKUP(Tbl_Donnees[[#This Row],[Référence]]&amp;"",Tbl_Catalogue[],9,FALSE)=0,"-",VLOOKUP(Tbl_Donnees[[#This Row],[Référence]]&amp;"",Tbl_Catalogue[],9,FALSE)),"-")</f>
        <v>SIEMENS</v>
      </c>
      <c r="O198" s="5" t="str">
        <f>IFERROR(IF(VLOOKUP(Tbl_Donnees[[#This Row],[Référence]]&amp;"",Tbl_Catalogue[],11,FALSE)=0,"-",VLOOKUP(Tbl_Donnees[[#This Row],[Référence]]&amp;"",Tbl_Catalogue[],11,FALSE)),"-")</f>
        <v>Suppression de produit (01/04/2015)</v>
      </c>
      <c r="P198" s="2" t="str">
        <f>IFERROR(IF(VLOOKUP(Tbl_Donnees[[#This Row],[Référence]]&amp;"",Tbl_Catalogue[],12,FALSE)=0,"-",VLOOKUP(Tbl_Donnees[[#This Row],[Référence]]&amp;"",Tbl_Catalogue[],12,FALSE)),"-")</f>
        <v>PHASE OUT</v>
      </c>
      <c r="Q198" s="13" t="str">
        <f>IFERROR(IF(VLOOKUP(Tbl_Donnees[[#This Row],[Référence]]&amp;"",Tbl_Catalogue[],13,FALSE)=0,"-",VLOOKUP(Tbl_Donnees[[#This Row],[Référence]]&amp;"",Tbl_Catalogue[],13,FALSE)),"-")</f>
        <v>-</v>
      </c>
      <c r="R198" s="2"/>
    </row>
    <row r="199" spans="1:18" ht="20.399999999999999" x14ac:dyDescent="0.2">
      <c r="A199" s="2" t="s">
        <v>357</v>
      </c>
      <c r="B199" s="5" t="s">
        <v>359</v>
      </c>
      <c r="C199" s="5" t="s">
        <v>60</v>
      </c>
      <c r="D199" s="6" t="str">
        <f>IFERROR(IF(VLOOKUP(Tbl_Donnees[[#This Row],[Référence]]&amp;"",Tbl_Catalogue[],3,FALSE)=0,"-",VLOOKUP(Tbl_Donnees[[#This Row],[Référence]]&amp;"",Tbl_Catalogue[],3,FALSE)),"-")</f>
        <v>CARTE REGUL. 2 AXES SIMODRIVE</v>
      </c>
      <c r="E199" s="6">
        <v>1</v>
      </c>
      <c r="F199" s="6" t="str">
        <f>IFERROR(IF(VLOOKUP(Tbl_Donnees[[#This Row],[Référence]]&amp;"",Tbl_Catalogue[],2,FALSE)=0,"-",VLOOKUP(Tbl_Donnees[[#This Row],[Référence]]&amp;"",Tbl_Catalogue[],2,FALSE)),"-")</f>
        <v>SIEMENS</v>
      </c>
      <c r="G199" s="20" t="s">
        <v>382</v>
      </c>
      <c r="H199" s="6" t="str">
        <f>IFERROR(IF(VLOOKUP(Tbl_Donnees[[#This Row],[Référence]]&amp;"",Tbl_Catalogue[],4,FALSE)=0,"-",VLOOKUP(Tbl_Donnees[[#This Row],[Référence]]&amp;"",Tbl_Catalogue[],4,FALSE)),"-")</f>
        <v>Produit obsolète (30/09/2015)</v>
      </c>
      <c r="I199" s="2" t="str">
        <f>IFERROR(IF(VLOOKUP(Tbl_Donnees[[#This Row],[Référence]]&amp;"",Tbl_Catalogue[],5,FALSE)=0,"-",VLOOKUP(Tbl_Donnees[[#This Row],[Référence]]&amp;"",Tbl_Catalogue[],5,FALSE)),"INCONNU")</f>
        <v>OBSOLETE</v>
      </c>
      <c r="J19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https://sieportal.siemens.com/fr-fr/products-services/detail/6SN1123-1AA00-0DA1?tree=CatalogTree</v>
      </c>
      <c r="K199" s="2" t="str">
        <f>IFERROR(IF(VLOOKUP(Tbl_Donnees[[#This Row],[Référence]]&amp;"",Tbl_Catalogue[],7,FALSE)=0,"-",VLOOKUP(Tbl_Donnees[[#This Row],[Référence]]&amp;"",Tbl_Catalogue[],7,FALSE)),"-")</f>
        <v>OUI</v>
      </c>
      <c r="L199" s="5" t="str">
        <f>IFERROR(IF(VLOOKUP(Tbl_Donnees[[#This Row],[Référence]]&amp;"",Tbl_Catalogue[],10,FALSE)=0,"-",VLOOKUP(Tbl_Donnees[[#This Row],[Référence]]&amp;"",Tbl_Catalogue[],10,FALSE)),"-")</f>
        <v>-</v>
      </c>
      <c r="M199" s="2" t="str">
        <f>IFERROR(IF(VLOOKUP(Tbl_Donnees[[#This Row],[Référence]]&amp;"",Tbl_Catalogue[],8,FALSE)=0,"-",VLOOKUP(Tbl_Donnees[[#This Row],[Référence]]&amp;"",Tbl_Catalogue[],8,FALSE)),"-")</f>
        <v>6SN1123-1AA00-0DA2</v>
      </c>
      <c r="N199" s="5" t="str">
        <f>IFERROR(IF(VLOOKUP(Tbl_Donnees[[#This Row],[Référence]]&amp;"",Tbl_Catalogue[],9,FALSE)=0,"-",VLOOKUP(Tbl_Donnees[[#This Row],[Référence]]&amp;"",Tbl_Catalogue[],9,FALSE)),"-")</f>
        <v>SIEMENS</v>
      </c>
      <c r="O199" s="5" t="str">
        <f>IFERROR(IF(VLOOKUP(Tbl_Donnees[[#This Row],[Référence]]&amp;"",Tbl_Catalogue[],11,FALSE)=0,"-",VLOOKUP(Tbl_Donnees[[#This Row],[Référence]]&amp;"",Tbl_Catalogue[],11,FALSE)),"-")</f>
        <v>Pièce de rechange (01/04/2015)</v>
      </c>
      <c r="P199" s="2" t="str">
        <f>IFERROR(IF(VLOOKUP(Tbl_Donnees[[#This Row],[Référence]]&amp;"",Tbl_Catalogue[],12,FALSE)=0,"-",VLOOKUP(Tbl_Donnees[[#This Row],[Référence]]&amp;"",Tbl_Catalogue[],12,FALSE)),"-")</f>
        <v>RECHANGE</v>
      </c>
      <c r="Q199" s="13" t="str">
        <f>IFERROR(IF(VLOOKUP(Tbl_Donnees[[#This Row],[Référence]]&amp;"",Tbl_Catalogue[],13,FALSE)=0,"-",VLOOKUP(Tbl_Donnees[[#This Row],[Référence]]&amp;"",Tbl_Catalogue[],13,FALSE)),"-")</f>
        <v>-</v>
      </c>
      <c r="R199" s="5"/>
    </row>
    <row r="200" spans="1:18" x14ac:dyDescent="0.2">
      <c r="A200" s="2" t="s">
        <v>357</v>
      </c>
      <c r="B200" s="5" t="s">
        <v>359</v>
      </c>
      <c r="C200" s="5" t="s">
        <v>60</v>
      </c>
      <c r="D200" s="6" t="str">
        <f>IFERROR(IF(VLOOKUP(Tbl_Donnees[[#This Row],[Référence]]&amp;"",Tbl_Catalogue[],3,FALSE)=0,"-",VLOOKUP(Tbl_Donnees[[#This Row],[Référence]]&amp;"",Tbl_Catalogue[],3,FALSE)),"-")</f>
        <v>MOD. FILTRE SIMODRIVE 16/21KW</v>
      </c>
      <c r="E200" s="6">
        <v>1</v>
      </c>
      <c r="F200" s="6" t="str">
        <f>IFERROR(IF(VLOOKUP(Tbl_Donnees[[#This Row],[Référence]]&amp;"",Tbl_Catalogue[],2,FALSE)=0,"-",VLOOKUP(Tbl_Donnees[[#This Row],[Référence]]&amp;"",Tbl_Catalogue[],2,FALSE)),"-")</f>
        <v>SIEMENS</v>
      </c>
      <c r="G200" s="20" t="s">
        <v>384</v>
      </c>
      <c r="H200" s="6" t="str">
        <f>IFERROR(IF(VLOOKUP(Tbl_Donnees[[#This Row],[Référence]]&amp;"",Tbl_Catalogue[],4,FALSE)=0,"-",VLOOKUP(Tbl_Donnees[[#This Row],[Référence]]&amp;"",Tbl_Catalogue[],4,FALSE)),"-")</f>
        <v>Fin de vie du produit (15/10/2007)</v>
      </c>
      <c r="I200" s="2" t="str">
        <f>IFERROR(IF(VLOOKUP(Tbl_Donnees[[#This Row],[Référence]]&amp;"",Tbl_Catalogue[],5,FALSE)=0,"-",VLOOKUP(Tbl_Donnees[[#This Row],[Référence]]&amp;"",Tbl_Catalogue[],5,FALSE)),"INCONNU")</f>
        <v>OBSOLETE</v>
      </c>
      <c r="J20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https://sieportal.siemens.com/fr-fr/products-services/detail/6SN1111-0AA01-0BA1?tree=CatalogTree</v>
      </c>
      <c r="K200" s="2" t="str">
        <f>IFERROR(IF(VLOOKUP(Tbl_Donnees[[#This Row],[Référence]]&amp;"",Tbl_Catalogue[],7,FALSE)=0,"-",VLOOKUP(Tbl_Donnees[[#This Row],[Référence]]&amp;"",Tbl_Catalogue[],7,FALSE)),"-")</f>
        <v>OUI</v>
      </c>
      <c r="L200" s="5" t="str">
        <f>IFERROR(IF(VLOOKUP(Tbl_Donnees[[#This Row],[Référence]]&amp;"",Tbl_Catalogue[],10,FALSE)=0,"-",VLOOKUP(Tbl_Donnees[[#This Row],[Référence]]&amp;"",Tbl_Catalogue[],10,FALSE)),"-")</f>
        <v>-</v>
      </c>
      <c r="M200" s="2" t="str">
        <f>IFERROR(IF(VLOOKUP(Tbl_Donnees[[#This Row],[Référence]]&amp;"",Tbl_Catalogue[],8,FALSE)=0,"-",VLOOKUP(Tbl_Donnees[[#This Row],[Référence]]&amp;"",Tbl_Catalogue[],8,FALSE)),"-")</f>
        <v>6SN1111-0AA01-0BA2</v>
      </c>
      <c r="N200" s="5" t="str">
        <f>IFERROR(IF(VLOOKUP(Tbl_Donnees[[#This Row],[Référence]]&amp;"",Tbl_Catalogue[],9,FALSE)=0,"-",VLOOKUP(Tbl_Donnees[[#This Row],[Référence]]&amp;"",Tbl_Catalogue[],9,FALSE)),"-")</f>
        <v>SIEMENS</v>
      </c>
      <c r="O200" s="5" t="str">
        <f>IFERROR(IF(VLOOKUP(Tbl_Donnees[[#This Row],[Référence]]&amp;"",Tbl_Catalogue[],11,FALSE)=0,"-",VLOOKUP(Tbl_Donnees[[#This Row],[Référence]]&amp;"",Tbl_Catalogue[],11,FALSE)),"-")</f>
        <v>Fin de vie du produit (01/04/2010)</v>
      </c>
      <c r="P200" s="2" t="str">
        <f>IFERROR(IF(VLOOKUP(Tbl_Donnees[[#This Row],[Référence]]&amp;"",Tbl_Catalogue[],12,FALSE)=0,"-",VLOOKUP(Tbl_Donnees[[#This Row],[Référence]]&amp;"",Tbl_Catalogue[],12,FALSE)),"-")</f>
        <v>OBSOLETE</v>
      </c>
      <c r="Q200" s="13" t="str">
        <f>IFERROR(IF(VLOOKUP(Tbl_Donnees[[#This Row],[Référence]]&amp;"",Tbl_Catalogue[],13,FALSE)=0,"-",VLOOKUP(Tbl_Donnees[[#This Row],[Référence]]&amp;"",Tbl_Catalogue[],13,FALSE)),"-")</f>
        <v>-</v>
      </c>
      <c r="R200" s="2"/>
    </row>
    <row r="201" spans="1:18" x14ac:dyDescent="0.2">
      <c r="A201" s="2" t="s">
        <v>357</v>
      </c>
      <c r="B201" s="5" t="s">
        <v>359</v>
      </c>
      <c r="C201" s="5" t="s">
        <v>60</v>
      </c>
      <c r="D201" s="6" t="str">
        <f>IFERROR(IF(VLOOKUP(Tbl_Donnees[[#This Row],[Référence]]&amp;"",Tbl_Catalogue[],3,FALSE)=0,"-",VLOOKUP(Tbl_Donnees[[#This Row],[Référence]]&amp;"",Tbl_Catalogue[],3,FALSE)),"-")</f>
        <v xml:space="preserve">CONTACTEUR TAILLE 0 </v>
      </c>
      <c r="E201" s="6">
        <v>2</v>
      </c>
      <c r="F201" s="6" t="str">
        <f>IFERROR(IF(VLOOKUP(Tbl_Donnees[[#This Row],[Référence]]&amp;"",Tbl_Catalogue[],2,FALSE)=0,"-",VLOOKUP(Tbl_Donnees[[#This Row],[Référence]]&amp;"",Tbl_Catalogue[],2,FALSE)),"-")</f>
        <v>SIEMENS</v>
      </c>
      <c r="G201" s="20" t="s">
        <v>389</v>
      </c>
      <c r="H201" s="6" t="str">
        <f>IFERROR(IF(VLOOKUP(Tbl_Donnees[[#This Row],[Référence]]&amp;"",Tbl_Catalogue[],4,FALSE)=0,"-",VLOOKUP(Tbl_Donnees[[#This Row],[Référence]]&amp;"",Tbl_Catalogue[],4,FALSE)),"-")</f>
        <v>Fin de vie du produit (11/07/2003)</v>
      </c>
      <c r="I201" s="2" t="str">
        <f>IFERROR(IF(VLOOKUP(Tbl_Donnees[[#This Row],[Référence]]&amp;"",Tbl_Catalogue[],5,FALSE)=0,"-",VLOOKUP(Tbl_Donnees[[#This Row],[Référence]]&amp;"",Tbl_Catalogue[],5,FALSE)),"INCONNU")</f>
        <v>OBSOLETE</v>
      </c>
      <c r="J201" s="3" t="str">
        <f>IFERROR(IF(VLOOKUP(Tbl_Donnees[[#This Row],[Référence]]&amp;"",Tbl_Catalogue[],6,FALSE)=0,"-",VLOOKUP(Tbl_Donnees[[#This Row],[Référence]]&amp;"",Tbl_Catalogue[],6,FALSE)),"-")</f>
        <v>https://sieportal.siemens.com/en-ww/products-services/detail/3TF40220BB4?tree=CatalogTree</v>
      </c>
      <c r="K201" s="2" t="str">
        <f>IFERROR(IF(VLOOKUP(Tbl_Donnees[[#This Row],[Référence]]&amp;"",Tbl_Catalogue[],7,FALSE)=0,"-",VLOOKUP(Tbl_Donnees[[#This Row],[Référence]]&amp;"",Tbl_Catalogue[],7,FALSE)),"-")</f>
        <v>NON</v>
      </c>
      <c r="L201" s="5" t="str">
        <f>IFERROR(IF(VLOOKUP(Tbl_Donnees[[#This Row],[Référence]]&amp;"",Tbl_Catalogue[],10,FALSE)=0,"-",VLOOKUP(Tbl_Donnees[[#This Row],[Référence]]&amp;"",Tbl_Catalogue[],10,FALSE)),"-")</f>
        <v>-</v>
      </c>
      <c r="M201" s="2" t="str">
        <f>IFERROR(IF(VLOOKUP(Tbl_Donnees[[#This Row],[Référence]]&amp;"",Tbl_Catalogue[],8,FALSE)=0,"-",VLOOKUP(Tbl_Donnees[[#This Row],[Référence]]&amp;"",Tbl_Catalogue[],8,FALSE)),"-")</f>
        <v>-</v>
      </c>
      <c r="N201" s="5" t="str">
        <f>IFERROR(IF(VLOOKUP(Tbl_Donnees[[#This Row],[Référence]]&amp;"",Tbl_Catalogue[],9,FALSE)=0,"-",VLOOKUP(Tbl_Donnees[[#This Row],[Référence]]&amp;"",Tbl_Catalogue[],9,FALSE)),"-")</f>
        <v>-</v>
      </c>
      <c r="O201" s="5" t="str">
        <f>IFERROR(IF(VLOOKUP(Tbl_Donnees[[#This Row],[Référence]]&amp;"",Tbl_Catalogue[],11,FALSE)=0,"-",VLOOKUP(Tbl_Donnees[[#This Row],[Référence]]&amp;"",Tbl_Catalogue[],11,FALSE)),"-")</f>
        <v>-</v>
      </c>
      <c r="P201" s="2" t="str">
        <f>IFERROR(IF(VLOOKUP(Tbl_Donnees[[#This Row],[Référence]]&amp;"",Tbl_Catalogue[],12,FALSE)=0,"-",VLOOKUP(Tbl_Donnees[[#This Row],[Référence]]&amp;"",Tbl_Catalogue[],12,FALSE)),"-")</f>
        <v>-</v>
      </c>
      <c r="Q201" s="13" t="str">
        <f>IFERROR(IF(VLOOKUP(Tbl_Donnees[[#This Row],[Référence]]&amp;"",Tbl_Catalogue[],13,FALSE)=0,"-",VLOOKUP(Tbl_Donnees[[#This Row],[Référence]]&amp;"",Tbl_Catalogue[],13,FALSE)),"-")</f>
        <v>-</v>
      </c>
      <c r="R201" s="2"/>
    </row>
    <row r="202" spans="1:18" x14ac:dyDescent="0.2">
      <c r="A202" s="2" t="s">
        <v>357</v>
      </c>
      <c r="B202" s="5" t="s">
        <v>359</v>
      </c>
      <c r="C202" s="5" t="s">
        <v>60</v>
      </c>
      <c r="D202" s="6" t="str">
        <f>IFERROR(IF(VLOOKUP(Tbl_Donnees[[#This Row],[Référence]]&amp;"",Tbl_Catalogue[],3,FALSE)=0,"-",VLOOKUP(Tbl_Donnees[[#This Row],[Référence]]&amp;"",Tbl_Catalogue[],3,FALSE)),"-")</f>
        <v xml:space="preserve">CONTACTEUR AUXILIAIRE </v>
      </c>
      <c r="E202" s="6">
        <v>2</v>
      </c>
      <c r="F202" s="6" t="str">
        <f>IFERROR(IF(VLOOKUP(Tbl_Donnees[[#This Row],[Référence]]&amp;"",Tbl_Catalogue[],2,FALSE)=0,"-",VLOOKUP(Tbl_Donnees[[#This Row],[Référence]]&amp;"",Tbl_Catalogue[],2,FALSE)),"-")</f>
        <v>SIEMENS</v>
      </c>
      <c r="G202" s="20" t="s">
        <v>390</v>
      </c>
      <c r="H202" s="6" t="str">
        <f>IFERROR(IF(VLOOKUP(Tbl_Donnees[[#This Row],[Référence]]&amp;"",Tbl_Catalogue[],4,FALSE)=0,"-",VLOOKUP(Tbl_Donnees[[#This Row],[Référence]]&amp;"",Tbl_Catalogue[],4,FALSE)),"-")</f>
        <v>Fin de vie du produit (01/06/2023)</v>
      </c>
      <c r="I202" s="2" t="str">
        <f>IFERROR(IF(VLOOKUP(Tbl_Donnees[[#This Row],[Référence]]&amp;"",Tbl_Catalogue[],5,FALSE)=0,"-",VLOOKUP(Tbl_Donnees[[#This Row],[Référence]]&amp;"",Tbl_Catalogue[],5,FALSE)),"INCONNU")</f>
        <v>OBSOLETE</v>
      </c>
      <c r="J20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https://sieportal.siemens.com/fr-fr/products-services/detail/3TH2040-0BB4?tree=CatalogTree</v>
      </c>
      <c r="K202" s="2" t="str">
        <f>IFERROR(IF(VLOOKUP(Tbl_Donnees[[#This Row],[Référence]]&amp;"",Tbl_Catalogue[],7,FALSE)=0,"-",VLOOKUP(Tbl_Donnees[[#This Row],[Référence]]&amp;"",Tbl_Catalogue[],7,FALSE)),"-")</f>
        <v>OUI</v>
      </c>
      <c r="L202" s="5" t="str">
        <f>IFERROR(IF(VLOOKUP(Tbl_Donnees[[#This Row],[Référence]]&amp;"",Tbl_Catalogue[],10,FALSE)=0,"-",VLOOKUP(Tbl_Donnees[[#This Row],[Référence]]&amp;"",Tbl_Catalogue[],10,FALSE)),"-")</f>
        <v>-</v>
      </c>
      <c r="M202" s="2" t="str">
        <f>IFERROR(IF(VLOOKUP(Tbl_Donnees[[#This Row],[Référence]]&amp;"",Tbl_Catalogue[],8,FALSE)=0,"-",VLOOKUP(Tbl_Donnees[[#This Row],[Référence]]&amp;"",Tbl_Catalogue[],8,FALSE)),"-")</f>
        <v>3RH2140-2BB40</v>
      </c>
      <c r="N202" s="5" t="str">
        <f>IFERROR(IF(VLOOKUP(Tbl_Donnees[[#This Row],[Référence]]&amp;"",Tbl_Catalogue[],9,FALSE)=0,"-",VLOOKUP(Tbl_Donnees[[#This Row],[Référence]]&amp;"",Tbl_Catalogue[],9,FALSE)),"-")</f>
        <v>SIEMENS</v>
      </c>
      <c r="O202" s="5" t="str">
        <f>IFERROR(IF(VLOOKUP(Tbl_Donnees[[#This Row],[Référence]]&amp;"",Tbl_Catalogue[],11,FALSE)=0,"-",VLOOKUP(Tbl_Donnees[[#This Row],[Référence]]&amp;"",Tbl_Catalogue[],11,FALSE)),"-")</f>
        <v>Produit actif </v>
      </c>
      <c r="P202" s="2" t="str">
        <f>IFERROR(IF(VLOOKUP(Tbl_Donnees[[#This Row],[Référence]]&amp;"",Tbl_Catalogue[],12,FALSE)=0,"-",VLOOKUP(Tbl_Donnees[[#This Row],[Référence]]&amp;"",Tbl_Catalogue[],12,FALSE)),"-")</f>
        <v>ACTIF</v>
      </c>
      <c r="Q202" s="13" t="str">
        <f>IFERROR(IF(VLOOKUP(Tbl_Donnees[[#This Row],[Référence]]&amp;"",Tbl_Catalogue[],13,FALSE)=0,"-",VLOOKUP(Tbl_Donnees[[#This Row],[Référence]]&amp;"",Tbl_Catalogue[],13,FALSE)),"-")</f>
        <v>-</v>
      </c>
      <c r="R202" s="5"/>
    </row>
    <row r="203" spans="1:18" ht="20.399999999999999" x14ac:dyDescent="0.2">
      <c r="A203" s="2" t="s">
        <v>357</v>
      </c>
      <c r="B203" s="5" t="s">
        <v>359</v>
      </c>
      <c r="C203" s="5" t="s">
        <v>60</v>
      </c>
      <c r="D203" s="6" t="str">
        <f>IFERROR(IF(VLOOKUP(Tbl_Donnees[[#This Row],[Référence]]&amp;"",Tbl_Catalogue[],3,FALSE)=0,"-",VLOOKUP(Tbl_Donnees[[#This Row],[Référence]]&amp;"",Tbl_Catalogue[],3,FALSE)),"-")</f>
        <v>ACCESSOIRE DISJONCTEUR 3VU13</v>
      </c>
      <c r="E203" s="6">
        <v>1</v>
      </c>
      <c r="F203" s="6" t="str">
        <f>IFERROR(IF(VLOOKUP(Tbl_Donnees[[#This Row],[Référence]]&amp;"",Tbl_Catalogue[],2,FALSE)=0,"-",VLOOKUP(Tbl_Donnees[[#This Row],[Référence]]&amp;"",Tbl_Catalogue[],2,FALSE)),"-")</f>
        <v>SIEMENS</v>
      </c>
      <c r="G203" s="20" t="s">
        <v>392</v>
      </c>
      <c r="H203" s="6" t="str">
        <f>IFERROR(IF(VLOOKUP(Tbl_Donnees[[#This Row],[Référence]]&amp;"",Tbl_Catalogue[],4,FALSE)=0,"-",VLOOKUP(Tbl_Donnees[[#This Row],[Référence]]&amp;"",Tbl_Catalogue[],4,FALSE)),"-")</f>
        <v>Abandon définitif de produit (26/11/2019)</v>
      </c>
      <c r="I203" s="2" t="str">
        <f>IFERROR(IF(VLOOKUP(Tbl_Donnees[[#This Row],[Référence]]&amp;"",Tbl_Catalogue[],5,FALSE)=0,"-",VLOOKUP(Tbl_Donnees[[#This Row],[Référence]]&amp;"",Tbl_Catalogue[],5,FALSE)),"INCONNU")</f>
        <v>OBSOLETE</v>
      </c>
      <c r="J203" s="3" t="str">
        <f>IFERROR(IF(VLOOKUP(Tbl_Donnees[[#This Row],[Référence]]&amp;"",Tbl_Catalogue[],6,FALSE)=0,"-",VLOOKUP(Tbl_Donnees[[#This Row],[Référence]]&amp;"",Tbl_Catalogue[],6,FALSE)),"-")</f>
        <v>https://support.industry.siemens.com/cs/pd/1083158?pdti=pi&amp;dl=fr&amp;lc=fr-FR</v>
      </c>
      <c r="K203" s="2" t="str">
        <f>IFERROR(IF(VLOOKUP(Tbl_Donnees[[#This Row],[Référence]]&amp;"",Tbl_Catalogue[],7,FALSE)=0,"-",VLOOKUP(Tbl_Donnees[[#This Row],[Référence]]&amp;"",Tbl_Catalogue[],7,FALSE)),"-")</f>
        <v>NON</v>
      </c>
      <c r="L203" s="5" t="str">
        <f>IFERROR(IF(VLOOKUP(Tbl_Donnees[[#This Row],[Référence]]&amp;"",Tbl_Catalogue[],10,FALSE)=0,"-",VLOOKUP(Tbl_Donnees[[#This Row],[Référence]]&amp;"",Tbl_Catalogue[],10,FALSE)),"-")</f>
        <v>-</v>
      </c>
      <c r="M203" s="2" t="str">
        <f>IFERROR(IF(VLOOKUP(Tbl_Donnees[[#This Row],[Référence]]&amp;"",Tbl_Catalogue[],8,FALSE)=0,"-",VLOOKUP(Tbl_Donnees[[#This Row],[Référence]]&amp;"",Tbl_Catalogue[],8,FALSE)),"-")</f>
        <v>-</v>
      </c>
      <c r="N203" s="5" t="str">
        <f>IFERROR(IF(VLOOKUP(Tbl_Donnees[[#This Row],[Référence]]&amp;"",Tbl_Catalogue[],9,FALSE)=0,"-",VLOOKUP(Tbl_Donnees[[#This Row],[Référence]]&amp;"",Tbl_Catalogue[],9,FALSE)),"-")</f>
        <v>-</v>
      </c>
      <c r="O203" s="5" t="str">
        <f>IFERROR(IF(VLOOKUP(Tbl_Donnees[[#This Row],[Référence]]&amp;"",Tbl_Catalogue[],11,FALSE)=0,"-",VLOOKUP(Tbl_Donnees[[#This Row],[Référence]]&amp;"",Tbl_Catalogue[],11,FALSE)),"-")</f>
        <v>-</v>
      </c>
      <c r="P203" s="2" t="str">
        <f>IFERROR(IF(VLOOKUP(Tbl_Donnees[[#This Row],[Référence]]&amp;"",Tbl_Catalogue[],12,FALSE)=0,"-",VLOOKUP(Tbl_Donnees[[#This Row],[Référence]]&amp;"",Tbl_Catalogue[],12,FALSE)),"-")</f>
        <v>-</v>
      </c>
      <c r="Q203" s="13" t="str">
        <f>IFERROR(IF(VLOOKUP(Tbl_Donnees[[#This Row],[Référence]]&amp;"",Tbl_Catalogue[],13,FALSE)=0,"-",VLOOKUP(Tbl_Donnees[[#This Row],[Référence]]&amp;"",Tbl_Catalogue[],13,FALSE)),"-")</f>
        <v>-</v>
      </c>
      <c r="R203" s="2"/>
    </row>
    <row r="204" spans="1:18" x14ac:dyDescent="0.2">
      <c r="A204" s="2" t="s">
        <v>357</v>
      </c>
      <c r="B204" s="5" t="s">
        <v>359</v>
      </c>
      <c r="C204" s="5" t="s">
        <v>60</v>
      </c>
      <c r="D204" s="6" t="str">
        <f>IFERROR(IF(VLOOKUP(Tbl_Donnees[[#This Row],[Référence]]&amp;"",Tbl_Catalogue[],3,FALSE)=0,"-",VLOOKUP(Tbl_Donnees[[#This Row],[Référence]]&amp;"",Tbl_Catalogue[],3,FALSE)),"-")</f>
        <v xml:space="preserve">CONTACTEUR AC-3 3KW </v>
      </c>
      <c r="E204" s="6">
        <v>5</v>
      </c>
      <c r="F204" s="6" t="str">
        <f>IFERROR(IF(VLOOKUP(Tbl_Donnees[[#This Row],[Référence]]&amp;"",Tbl_Catalogue[],2,FALSE)=0,"-",VLOOKUP(Tbl_Donnees[[#This Row],[Référence]]&amp;"",Tbl_Catalogue[],2,FALSE)),"-")</f>
        <v>SIEMENS</v>
      </c>
      <c r="G204" s="20" t="s">
        <v>400</v>
      </c>
      <c r="H204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204" s="2" t="str">
        <f>IFERROR(IF(VLOOKUP(Tbl_Donnees[[#This Row],[Référence]]&amp;"",Tbl_Catalogue[],5,FALSE)=0,"-",VLOOKUP(Tbl_Donnees[[#This Row],[Référence]]&amp;"",Tbl_Catalogue[],5,FALSE)),"INCONNU")</f>
        <v>OBSOLETE</v>
      </c>
      <c r="J20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https://sieportal.siemens.com/fr-fr/products-services/detail/3RT1015-1BB41?tree=CatalogTree</v>
      </c>
      <c r="K204" s="2" t="str">
        <f>IFERROR(IF(VLOOKUP(Tbl_Donnees[[#This Row],[Référence]]&amp;"",Tbl_Catalogue[],7,FALSE)=0,"-",VLOOKUP(Tbl_Donnees[[#This Row],[Référence]]&amp;"",Tbl_Catalogue[],7,FALSE)),"-")</f>
        <v>OUI</v>
      </c>
      <c r="L204" s="5" t="str">
        <f>IFERROR(IF(VLOOKUP(Tbl_Donnees[[#This Row],[Référence]]&amp;"",Tbl_Catalogue[],10,FALSE)=0,"-",VLOOKUP(Tbl_Donnees[[#This Row],[Référence]]&amp;"",Tbl_Catalogue[],10,FALSE)),"-")</f>
        <v>-</v>
      </c>
      <c r="M204" s="2" t="str">
        <f>IFERROR(IF(VLOOKUP(Tbl_Donnees[[#This Row],[Référence]]&amp;"",Tbl_Catalogue[],8,FALSE)=0,"-",VLOOKUP(Tbl_Donnees[[#This Row],[Référence]]&amp;"",Tbl_Catalogue[],8,FALSE)),"-")</f>
        <v>3RT2015-1BB41</v>
      </c>
      <c r="N204" s="5" t="str">
        <f>IFERROR(IF(VLOOKUP(Tbl_Donnees[[#This Row],[Référence]]&amp;"",Tbl_Catalogue[],9,FALSE)=0,"-",VLOOKUP(Tbl_Donnees[[#This Row],[Référence]]&amp;"",Tbl_Catalogue[],9,FALSE)),"-")</f>
        <v>SIEMENS</v>
      </c>
      <c r="O204" s="5" t="str">
        <f>IFERROR(IF(VLOOKUP(Tbl_Donnees[[#This Row],[Référence]]&amp;"",Tbl_Catalogue[],11,FALSE)=0,"-",VLOOKUP(Tbl_Donnees[[#This Row],[Référence]]&amp;"",Tbl_Catalogue[],11,FALSE)),"-")</f>
        <v>Produit actif </v>
      </c>
      <c r="P204" s="2" t="str">
        <f>IFERROR(IF(VLOOKUP(Tbl_Donnees[[#This Row],[Référence]]&amp;"",Tbl_Catalogue[],12,FALSE)=0,"-",VLOOKUP(Tbl_Donnees[[#This Row],[Référence]]&amp;"",Tbl_Catalogue[],12,FALSE)),"-")</f>
        <v>ACTIF</v>
      </c>
      <c r="Q204" s="13" t="str">
        <f>IFERROR(IF(VLOOKUP(Tbl_Donnees[[#This Row],[Référence]]&amp;"",Tbl_Catalogue[],13,FALSE)=0,"-",VLOOKUP(Tbl_Donnees[[#This Row],[Référence]]&amp;"",Tbl_Catalogue[],13,FALSE)),"-")</f>
        <v>-</v>
      </c>
      <c r="R204" s="5"/>
    </row>
    <row r="205" spans="1:18" x14ac:dyDescent="0.2">
      <c r="A205" s="2" t="s">
        <v>357</v>
      </c>
      <c r="B205" s="5" t="s">
        <v>359</v>
      </c>
      <c r="C205" s="5" t="s">
        <v>60</v>
      </c>
      <c r="D205" s="6" t="str">
        <f>IFERROR(IF(VLOOKUP(Tbl_Donnees[[#This Row],[Référence]]&amp;"",Tbl_Catalogue[],3,FALSE)=0,"-",VLOOKUP(Tbl_Donnees[[#This Row],[Référence]]&amp;"",Tbl_Catalogue[],3,FALSE)),"-")</f>
        <v>CONTACTEUR PUISSANCE</v>
      </c>
      <c r="E205" s="6">
        <v>2</v>
      </c>
      <c r="F205" s="6" t="str">
        <f>IFERROR(IF(VLOOKUP(Tbl_Donnees[[#This Row],[Référence]]&amp;"",Tbl_Catalogue[],2,FALSE)=0,"-",VLOOKUP(Tbl_Donnees[[#This Row],[Référence]]&amp;"",Tbl_Catalogue[],2,FALSE)),"-")</f>
        <v>SIEMENS</v>
      </c>
      <c r="G205" s="20" t="s">
        <v>54</v>
      </c>
      <c r="H205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205" s="2" t="str">
        <f>IFERROR(IF(VLOOKUP(Tbl_Donnees[[#This Row],[Référence]]&amp;"",Tbl_Catalogue[],5,FALSE)=0,"-",VLOOKUP(Tbl_Donnees[[#This Row],[Référence]]&amp;"",Tbl_Catalogue[],5,FALSE)),"INCONNU")</f>
        <v>OBSOLETE</v>
      </c>
      <c r="J20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https://sieportal.siemens.com/fr-fr/products-services/detail/3rt1016-1bb41?tree=CatalogTree</v>
      </c>
      <c r="K205" s="2" t="str">
        <f>IFERROR(IF(VLOOKUP(Tbl_Donnees[[#This Row],[Référence]]&amp;"",Tbl_Catalogue[],7,FALSE)=0,"-",VLOOKUP(Tbl_Donnees[[#This Row],[Référence]]&amp;"",Tbl_Catalogue[],7,FALSE)),"-")</f>
        <v>OUI</v>
      </c>
      <c r="L205" s="5" t="str">
        <f>IFERROR(IF(VLOOKUP(Tbl_Donnees[[#This Row],[Référence]]&amp;"",Tbl_Catalogue[],10,FALSE)=0,"-",VLOOKUP(Tbl_Donnees[[#This Row],[Référence]]&amp;"",Tbl_Catalogue[],10,FALSE)),"-")</f>
        <v>-</v>
      </c>
      <c r="M205" s="2" t="str">
        <f>IFERROR(IF(VLOOKUP(Tbl_Donnees[[#This Row],[Référence]]&amp;"",Tbl_Catalogue[],8,FALSE)=0,"-",VLOOKUP(Tbl_Donnees[[#This Row],[Référence]]&amp;"",Tbl_Catalogue[],8,FALSE)),"-")</f>
        <v>3RT2016-1BB41</v>
      </c>
      <c r="N205" s="5" t="str">
        <f>IFERROR(IF(VLOOKUP(Tbl_Donnees[[#This Row],[Référence]]&amp;"",Tbl_Catalogue[],9,FALSE)=0,"-",VLOOKUP(Tbl_Donnees[[#This Row],[Référence]]&amp;"",Tbl_Catalogue[],9,FALSE)),"-")</f>
        <v>SIEMENS</v>
      </c>
      <c r="O205" s="5" t="str">
        <f>IFERROR(IF(VLOOKUP(Tbl_Donnees[[#This Row],[Référence]]&amp;"",Tbl_Catalogue[],11,FALSE)=0,"-",VLOOKUP(Tbl_Donnees[[#This Row],[Référence]]&amp;"",Tbl_Catalogue[],11,FALSE)),"-")</f>
        <v>-</v>
      </c>
      <c r="P205" s="2" t="str">
        <f>IFERROR(IF(VLOOKUP(Tbl_Donnees[[#This Row],[Référence]]&amp;"",Tbl_Catalogue[],12,FALSE)=0,"-",VLOOKUP(Tbl_Donnees[[#This Row],[Référence]]&amp;"",Tbl_Catalogue[],12,FALSE)),"-")</f>
        <v>ACTIF</v>
      </c>
      <c r="Q205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https://sieportal.siemens.com/fr-fr/products-services/detail/3RT2016-1BB41?tree=CatalogTree</v>
      </c>
      <c r="R205" s="2"/>
    </row>
    <row r="206" spans="1:18" x14ac:dyDescent="0.2">
      <c r="A206" s="2" t="s">
        <v>357</v>
      </c>
      <c r="B206" s="5" t="s">
        <v>359</v>
      </c>
      <c r="C206" s="5" t="s">
        <v>60</v>
      </c>
      <c r="D206" s="6" t="str">
        <f>IFERROR(IF(VLOOKUP(Tbl_Donnees[[#This Row],[Référence]]&amp;"",Tbl_Catalogue[],3,FALSE)=0,"-",VLOOKUP(Tbl_Donnees[[#This Row],[Référence]]&amp;"",Tbl_Catalogue[],3,FALSE)),"-")</f>
        <v>DISJONCTEUR 6KA 1P C6</v>
      </c>
      <c r="E206" s="6">
        <v>1</v>
      </c>
      <c r="F206" s="6" t="str">
        <f>IFERROR(IF(VLOOKUP(Tbl_Donnees[[#This Row],[Référence]]&amp;"",Tbl_Catalogue[],2,FALSE)=0,"-",VLOOKUP(Tbl_Donnees[[#This Row],[Référence]]&amp;"",Tbl_Catalogue[],2,FALSE)),"-")</f>
        <v>SIEMENS</v>
      </c>
      <c r="G206" s="20" t="s">
        <v>404</v>
      </c>
      <c r="H206" s="6" t="str">
        <f>IFERROR(IF(VLOOKUP(Tbl_Donnees[[#This Row],[Référence]]&amp;"",Tbl_Catalogue[],4,FALSE)=0,"-",VLOOKUP(Tbl_Donnees[[#This Row],[Référence]]&amp;"",Tbl_Catalogue[],4,FALSE)),"-")</f>
        <v>Fin de vie du produit (01/04/2014)</v>
      </c>
      <c r="I206" s="2" t="str">
        <f>IFERROR(IF(VLOOKUP(Tbl_Donnees[[#This Row],[Référence]]&amp;"",Tbl_Catalogue[],5,FALSE)=0,"-",VLOOKUP(Tbl_Donnees[[#This Row],[Référence]]&amp;"",Tbl_Catalogue[],5,FALSE)),"INCONNU")</f>
        <v>OBSOLETE</v>
      </c>
      <c r="J206" s="3" t="str">
        <f>IFERROR(IF(VLOOKUP(Tbl_Donnees[[#This Row],[Référence]]&amp;"",Tbl_Catalogue[],6,FALSE)=0,"-",VLOOKUP(Tbl_Donnees[[#This Row],[Référence]]&amp;"",Tbl_Catalogue[],6,FALSE)),"-")</f>
        <v>https://support.industry.siemens.com/cs/pd/350233?pdti=pi&amp;dl=fr&amp;lc=fr-FR</v>
      </c>
      <c r="K206" s="2" t="str">
        <f>IFERROR(IF(VLOOKUP(Tbl_Donnees[[#This Row],[Référence]]&amp;"",Tbl_Catalogue[],7,FALSE)=0,"-",VLOOKUP(Tbl_Donnees[[#This Row],[Référence]]&amp;"",Tbl_Catalogue[],7,FALSE)),"-")</f>
        <v>OUI</v>
      </c>
      <c r="L206" s="5" t="str">
        <f>IFERROR(IF(VLOOKUP(Tbl_Donnees[[#This Row],[Référence]]&amp;"",Tbl_Catalogue[],10,FALSE)=0,"-",VLOOKUP(Tbl_Donnees[[#This Row],[Référence]]&amp;"",Tbl_Catalogue[],10,FALSE)),"-")</f>
        <v>-</v>
      </c>
      <c r="M206" s="2" t="str">
        <f>IFERROR(IF(VLOOKUP(Tbl_Donnees[[#This Row],[Référence]]&amp;"",Tbl_Catalogue[],8,FALSE)=0,"-",VLOOKUP(Tbl_Donnees[[#This Row],[Référence]]&amp;"",Tbl_Catalogue[],8,FALSE)),"-")</f>
        <v>5SL6106-7MB D70MM INSTEAD OF D55MM</v>
      </c>
      <c r="N206" s="5" t="str">
        <f>IFERROR(IF(VLOOKUP(Tbl_Donnees[[#This Row],[Référence]]&amp;"",Tbl_Catalogue[],9,FALSE)=0,"-",VLOOKUP(Tbl_Donnees[[#This Row],[Référence]]&amp;"",Tbl_Catalogue[],9,FALSE)),"-")</f>
        <v>SIEMENS</v>
      </c>
      <c r="O206" s="5" t="str">
        <f>IFERROR(IF(VLOOKUP(Tbl_Donnees[[#This Row],[Référence]]&amp;"",Tbl_Catalogue[],11,FALSE)=0,"-",VLOOKUP(Tbl_Donnees[[#This Row],[Référence]]&amp;"",Tbl_Catalogue[],11,FALSE)),"-")</f>
        <v>-</v>
      </c>
      <c r="P206" s="2" t="str">
        <f>IFERROR(IF(VLOOKUP(Tbl_Donnees[[#This Row],[Référence]]&amp;"",Tbl_Catalogue[],12,FALSE)=0,"-",VLOOKUP(Tbl_Donnees[[#This Row],[Référence]]&amp;"",Tbl_Catalogue[],12,FALSE)),"-")</f>
        <v>-</v>
      </c>
      <c r="Q206" s="13" t="str">
        <f>IFERROR(IF(VLOOKUP(Tbl_Donnees[[#This Row],[Référence]]&amp;"",Tbl_Catalogue[],13,FALSE)=0,"-",VLOOKUP(Tbl_Donnees[[#This Row],[Référence]]&amp;"",Tbl_Catalogue[],13,FALSE)),"-")</f>
        <v>-</v>
      </c>
      <c r="R206" s="5"/>
    </row>
    <row r="207" spans="1:18" x14ac:dyDescent="0.2">
      <c r="A207" s="2" t="s">
        <v>357</v>
      </c>
      <c r="B207" s="5" t="s">
        <v>359</v>
      </c>
      <c r="C207" s="5" t="s">
        <v>60</v>
      </c>
      <c r="D207" s="6" t="str">
        <f>IFERROR(IF(VLOOKUP(Tbl_Donnees[[#This Row],[Référence]]&amp;"",Tbl_Catalogue[],3,FALSE)=0,"-",VLOOKUP(Tbl_Donnees[[#This Row],[Référence]]&amp;"",Tbl_Catalogue[],3,FALSE)),"-")</f>
        <v>CONNECTEUR MOTEUR 1FT5</v>
      </c>
      <c r="E207" s="6">
        <v>1</v>
      </c>
      <c r="F207" s="6" t="str">
        <f>IFERROR(IF(VLOOKUP(Tbl_Donnees[[#This Row],[Référence]]&amp;"",Tbl_Catalogue[],2,FALSE)=0,"-",VLOOKUP(Tbl_Donnees[[#This Row],[Référence]]&amp;"",Tbl_Catalogue[],2,FALSE)),"-")</f>
        <v>SIEMENS</v>
      </c>
      <c r="G207" s="20" t="s">
        <v>408</v>
      </c>
      <c r="H207" s="6" t="str">
        <f>IFERROR(IF(VLOOKUP(Tbl_Donnees[[#This Row],[Référence]]&amp;"",Tbl_Catalogue[],4,FALSE)=0,"-",VLOOKUP(Tbl_Donnees[[#This Row],[Référence]]&amp;"",Tbl_Catalogue[],4,FALSE)),"-")</f>
        <v>Fin de vie du produit(01/06/1995)</v>
      </c>
      <c r="I207" s="2" t="str">
        <f>IFERROR(IF(VLOOKUP(Tbl_Donnees[[#This Row],[Référence]]&amp;"",Tbl_Catalogue[],5,FALSE)=0,"-",VLOOKUP(Tbl_Donnees[[#This Row],[Référence]]&amp;"",Tbl_Catalogue[],5,FALSE)),"INCONNU")</f>
        <v>OBSOLETE</v>
      </c>
      <c r="J207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https://sieportal.siemens.com/fr-fr/products-services/detail/6FC9348-7AD?tree=CatalogTree</v>
      </c>
      <c r="K207" s="2" t="str">
        <f>IFERROR(IF(VLOOKUP(Tbl_Donnees[[#This Row],[Référence]]&amp;"",Tbl_Catalogue[],7,FALSE)=0,"-",VLOOKUP(Tbl_Donnees[[#This Row],[Référence]]&amp;"",Tbl_Catalogue[],7,FALSE)),"-")</f>
        <v>OUI</v>
      </c>
      <c r="L207" s="5" t="str">
        <f>IFERROR(IF(VLOOKUP(Tbl_Donnees[[#This Row],[Référence]]&amp;"",Tbl_Catalogue[],10,FALSE)=0,"-",VLOOKUP(Tbl_Donnees[[#This Row],[Référence]]&amp;"",Tbl_Catalogue[],10,FALSE)),"-")</f>
        <v>-</v>
      </c>
      <c r="M207" s="2" t="str">
        <f>IFERROR(IF(VLOOKUP(Tbl_Donnees[[#This Row],[Référence]]&amp;"",Tbl_Catalogue[],8,FALSE)=0,"-",VLOOKUP(Tbl_Donnees[[#This Row],[Référence]]&amp;"",Tbl_Catalogue[],8,FALSE)),"-")</f>
        <v>6FX2003-0SU10</v>
      </c>
      <c r="N207" s="5" t="str">
        <f>IFERROR(IF(VLOOKUP(Tbl_Donnees[[#This Row],[Référence]]&amp;"",Tbl_Catalogue[],9,FALSE)=0,"-",VLOOKUP(Tbl_Donnees[[#This Row],[Référence]]&amp;"",Tbl_Catalogue[],9,FALSE)),"-")</f>
        <v>SIEMENS</v>
      </c>
      <c r="O207" s="5" t="str">
        <f>IFERROR(IF(VLOOKUP(Tbl_Donnees[[#This Row],[Référence]]&amp;"",Tbl_Catalogue[],11,FALSE)=0,"-",VLOOKUP(Tbl_Donnees[[#This Row],[Référence]]&amp;"",Tbl_Catalogue[],11,FALSE)),"-")</f>
        <v>Fin de vie du produit(01/10/2005)</v>
      </c>
      <c r="P207" s="2" t="str">
        <f>IFERROR(IF(VLOOKUP(Tbl_Donnees[[#This Row],[Référence]]&amp;"",Tbl_Catalogue[],12,FALSE)=0,"-",VLOOKUP(Tbl_Donnees[[#This Row],[Référence]]&amp;"",Tbl_Catalogue[],12,FALSE)),"-")</f>
        <v>OBSOLETE</v>
      </c>
      <c r="Q207" s="13" t="str">
        <f>IFERROR(IF(VLOOKUP(Tbl_Donnees[[#This Row],[Référence]]&amp;"",Tbl_Catalogue[],13,FALSE)=0,"-",VLOOKUP(Tbl_Donnees[[#This Row],[Référence]]&amp;"",Tbl_Catalogue[],13,FALSE)),"-")</f>
        <v>-</v>
      </c>
      <c r="R207" s="2"/>
    </row>
    <row r="208" spans="1:18" x14ac:dyDescent="0.2">
      <c r="A208" s="2" t="s">
        <v>357</v>
      </c>
      <c r="B208" s="5" t="s">
        <v>359</v>
      </c>
      <c r="C208" s="5" t="s">
        <v>60</v>
      </c>
      <c r="D208" s="6" t="str">
        <f>IFERROR(IF(VLOOKUP(Tbl_Donnees[[#This Row],[Référence]]&amp;"",Tbl_Catalogue[],3,FALSE)=0,"-",VLOOKUP(Tbl_Donnees[[#This Row],[Référence]]&amp;"",Tbl_Catalogue[],3,FALSE)),"-")</f>
        <v>CONNECTEUR MALE SUB-D WF715</v>
      </c>
      <c r="E208" s="6">
        <v>1</v>
      </c>
      <c r="F208" s="6" t="str">
        <f>IFERROR(IF(VLOOKUP(Tbl_Donnees[[#This Row],[Référence]]&amp;"",Tbl_Catalogue[],2,FALSE)=0,"-",VLOOKUP(Tbl_Donnees[[#This Row],[Référence]]&amp;"",Tbl_Catalogue[],2,FALSE)),"-")</f>
        <v>SIEMENS</v>
      </c>
      <c r="G208" s="20" t="s">
        <v>412</v>
      </c>
      <c r="H208" s="6" t="str">
        <f>IFERROR(IF(VLOOKUP(Tbl_Donnees[[#This Row],[Référence]]&amp;"",Tbl_Catalogue[],4,FALSE)=0,"-",VLOOKUP(Tbl_Donnees[[#This Row],[Référence]]&amp;"",Tbl_Catalogue[],4,FALSE)),"-")</f>
        <v>Fin de vie du produit (06/11/2018)</v>
      </c>
      <c r="I208" s="2" t="str">
        <f>IFERROR(IF(VLOOKUP(Tbl_Donnees[[#This Row],[Référence]]&amp;"",Tbl_Catalogue[],5,FALSE)=0,"-",VLOOKUP(Tbl_Donnees[[#This Row],[Référence]]&amp;"",Tbl_Catalogue[],5,FALSE)),"INCONNU")</f>
        <v>OBSOLETE</v>
      </c>
      <c r="J208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https://sieportal.siemens.com/fr-fr/products-services/detail/6FM1790-8DA00?tree=CatalogTree</v>
      </c>
      <c r="K208" s="2" t="str">
        <f>IFERROR(IF(VLOOKUP(Tbl_Donnees[[#This Row],[Référence]]&amp;"",Tbl_Catalogue[],7,FALSE)=0,"-",VLOOKUP(Tbl_Donnees[[#This Row],[Référence]]&amp;"",Tbl_Catalogue[],7,FALSE)),"-")</f>
        <v>NON</v>
      </c>
      <c r="L208" s="5" t="str">
        <f>IFERROR(IF(VLOOKUP(Tbl_Donnees[[#This Row],[Référence]]&amp;"",Tbl_Catalogue[],10,FALSE)=0,"-",VLOOKUP(Tbl_Donnees[[#This Row],[Référence]]&amp;"",Tbl_Catalogue[],10,FALSE)),"-")</f>
        <v>-</v>
      </c>
      <c r="M208" s="2" t="str">
        <f>IFERROR(IF(VLOOKUP(Tbl_Donnees[[#This Row],[Référence]]&amp;"",Tbl_Catalogue[],8,FALSE)=0,"-",VLOOKUP(Tbl_Donnees[[#This Row],[Référence]]&amp;"",Tbl_Catalogue[],8,FALSE)),"-")</f>
        <v>-</v>
      </c>
      <c r="N208" s="5" t="str">
        <f>IFERROR(IF(VLOOKUP(Tbl_Donnees[[#This Row],[Référence]]&amp;"",Tbl_Catalogue[],9,FALSE)=0,"-",VLOOKUP(Tbl_Donnees[[#This Row],[Référence]]&amp;"",Tbl_Catalogue[],9,FALSE)),"-")</f>
        <v>-</v>
      </c>
      <c r="O208" s="5" t="str">
        <f>IFERROR(IF(VLOOKUP(Tbl_Donnees[[#This Row],[Référence]]&amp;"",Tbl_Catalogue[],11,FALSE)=0,"-",VLOOKUP(Tbl_Donnees[[#This Row],[Référence]]&amp;"",Tbl_Catalogue[],11,FALSE)),"-")</f>
        <v>-</v>
      </c>
      <c r="P208" s="2" t="str">
        <f>IFERROR(IF(VLOOKUP(Tbl_Donnees[[#This Row],[Référence]]&amp;"",Tbl_Catalogue[],12,FALSE)=0,"-",VLOOKUP(Tbl_Donnees[[#This Row],[Référence]]&amp;"",Tbl_Catalogue[],12,FALSE)),"-")</f>
        <v>-</v>
      </c>
      <c r="Q208" s="13" t="str">
        <f>IFERROR(IF(VLOOKUP(Tbl_Donnees[[#This Row],[Référence]]&amp;"",Tbl_Catalogue[],13,FALSE)=0,"-",VLOOKUP(Tbl_Donnees[[#This Row],[Référence]]&amp;"",Tbl_Catalogue[],13,FALSE)),"-")</f>
        <v>-</v>
      </c>
      <c r="R208" s="5"/>
    </row>
    <row r="209" spans="1:18" x14ac:dyDescent="0.2">
      <c r="A209" s="2" t="s">
        <v>357</v>
      </c>
      <c r="B209" s="5" t="s">
        <v>359</v>
      </c>
      <c r="C209" s="5" t="s">
        <v>60</v>
      </c>
      <c r="D209" s="6" t="str">
        <f>IFERROR(IF(VLOOKUP(Tbl_Donnees[[#This Row],[Référence]]&amp;"",Tbl_Catalogue[],3,FALSE)=0,"-",VLOOKUP(Tbl_Donnees[[#This Row],[Référence]]&amp;"",Tbl_Catalogue[],3,FALSE)),"-")</f>
        <v>CONTACTEUR PUISSANCE</v>
      </c>
      <c r="E209" s="6">
        <v>1</v>
      </c>
      <c r="F209" s="6" t="str">
        <f>IFERROR(IF(VLOOKUP(Tbl_Donnees[[#This Row],[Référence]]&amp;"",Tbl_Catalogue[],2,FALSE)=0,"-",VLOOKUP(Tbl_Donnees[[#This Row],[Référence]]&amp;"",Tbl_Catalogue[],2,FALSE)),"-")</f>
        <v>SIEMENS</v>
      </c>
      <c r="G209" s="20" t="s">
        <v>54</v>
      </c>
      <c r="H209" s="6" t="str">
        <f>IFERROR(IF(VLOOKUP(Tbl_Donnees[[#This Row],[Référence]]&amp;"",Tbl_Catalogue[],4,FALSE)=0,"-",VLOOKUP(Tbl_Donnees[[#This Row],[Référence]]&amp;"",Tbl_Catalogue[],4,FALSE)),"-")</f>
        <v>Fin de vie du produit (30/09/2021)</v>
      </c>
      <c r="I209" s="2" t="str">
        <f>IFERROR(IF(VLOOKUP(Tbl_Donnees[[#This Row],[Référence]]&amp;"",Tbl_Catalogue[],5,FALSE)=0,"-",VLOOKUP(Tbl_Donnees[[#This Row],[Référence]]&amp;"",Tbl_Catalogue[],5,FALSE)),"INCONNU")</f>
        <v>OBSOLETE</v>
      </c>
      <c r="J20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https://sieportal.siemens.com/fr-fr/products-services/detail/3rt1016-1bb41?tree=CatalogTree</v>
      </c>
      <c r="K209" s="2" t="str">
        <f>IFERROR(IF(VLOOKUP(Tbl_Donnees[[#This Row],[Référence]]&amp;"",Tbl_Catalogue[],7,FALSE)=0,"-",VLOOKUP(Tbl_Donnees[[#This Row],[Référence]]&amp;"",Tbl_Catalogue[],7,FALSE)),"-")</f>
        <v>OUI</v>
      </c>
      <c r="L209" s="5" t="str">
        <f>IFERROR(IF(VLOOKUP(Tbl_Donnees[[#This Row],[Référence]]&amp;"",Tbl_Catalogue[],10,FALSE)=0,"-",VLOOKUP(Tbl_Donnees[[#This Row],[Référence]]&amp;"",Tbl_Catalogue[],10,FALSE)),"-")</f>
        <v>-</v>
      </c>
      <c r="M209" s="2" t="str">
        <f>IFERROR(IF(VLOOKUP(Tbl_Donnees[[#This Row],[Référence]]&amp;"",Tbl_Catalogue[],8,FALSE)=0,"-",VLOOKUP(Tbl_Donnees[[#This Row],[Référence]]&amp;"",Tbl_Catalogue[],8,FALSE)),"-")</f>
        <v>3RT2016-1BB41</v>
      </c>
      <c r="N209" s="5" t="str">
        <f>IFERROR(IF(VLOOKUP(Tbl_Donnees[[#This Row],[Référence]]&amp;"",Tbl_Catalogue[],9,FALSE)=0,"-",VLOOKUP(Tbl_Donnees[[#This Row],[Référence]]&amp;"",Tbl_Catalogue[],9,FALSE)),"-")</f>
        <v>SIEMENS</v>
      </c>
      <c r="O209" s="5" t="str">
        <f>IFERROR(IF(VLOOKUP(Tbl_Donnees[[#This Row],[Référence]]&amp;"",Tbl_Catalogue[],11,FALSE)=0,"-",VLOOKUP(Tbl_Donnees[[#This Row],[Référence]]&amp;"",Tbl_Catalogue[],11,FALSE)),"-")</f>
        <v>-</v>
      </c>
      <c r="P209" s="2" t="str">
        <f>IFERROR(IF(VLOOKUP(Tbl_Donnees[[#This Row],[Référence]]&amp;"",Tbl_Catalogue[],12,FALSE)=0,"-",VLOOKUP(Tbl_Donnees[[#This Row],[Référence]]&amp;"",Tbl_Catalogue[],12,FALSE)),"-")</f>
        <v>ACTIF</v>
      </c>
      <c r="Q209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https://sieportal.siemens.com/fr-fr/products-services/detail/3RT2016-1BB41?tree=CatalogTree</v>
      </c>
      <c r="R209" s="2"/>
    </row>
    <row r="210" spans="1:18" x14ac:dyDescent="0.2">
      <c r="A210" s="2" t="s">
        <v>357</v>
      </c>
      <c r="B210" s="5" t="s">
        <v>359</v>
      </c>
      <c r="C210" s="5" t="s">
        <v>60</v>
      </c>
      <c r="D210" s="6" t="str">
        <f>IFERROR(IF(VLOOKUP(Tbl_Donnees[[#This Row],[Référence]]&amp;"",Tbl_Catalogue[],3,FALSE)=0,"-",VLOOKUP(Tbl_Donnees[[#This Row],[Référence]]&amp;"",Tbl_Catalogue[],3,FALSE)),"-")</f>
        <v>BLOC CONTACTS AUXILIAIRES</v>
      </c>
      <c r="E210" s="6">
        <v>1</v>
      </c>
      <c r="F210" s="6" t="str">
        <f>IFERROR(IF(VLOOKUP(Tbl_Donnees[[#This Row],[Référence]]&amp;"",Tbl_Catalogue[],2,FALSE)=0,"-",VLOOKUP(Tbl_Donnees[[#This Row],[Référence]]&amp;"",Tbl_Catalogue[],2,FALSE)),"-")</f>
        <v>SIEMENS</v>
      </c>
      <c r="G210" s="20" t="s">
        <v>414</v>
      </c>
      <c r="H210" s="6" t="str">
        <f>IFERROR(IF(VLOOKUP(Tbl_Donnees[[#This Row],[Référence]]&amp;"",Tbl_Catalogue[],4,FALSE)=0,"-",VLOOKUP(Tbl_Donnees[[#This Row],[Référence]]&amp;"",Tbl_Catalogue[],4,FALSE)),"-")</f>
        <v>Fin de vie du produit(01/10/2021)</v>
      </c>
      <c r="I210" s="2" t="str">
        <f>IFERROR(IF(VLOOKUP(Tbl_Donnees[[#This Row],[Référence]]&amp;"",Tbl_Catalogue[],5,FALSE)=0,"-",VLOOKUP(Tbl_Donnees[[#This Row],[Référence]]&amp;"",Tbl_Catalogue[],5,FALSE)),"INCONNU")</f>
        <v>OBSOLETE</v>
      </c>
      <c r="J21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https://sieportal.siemens.com/fr-fr/products-services/detail/3TX4404-0A?tree=CatalogTree</v>
      </c>
      <c r="K210" s="2" t="str">
        <f>IFERROR(IF(VLOOKUP(Tbl_Donnees[[#This Row],[Référence]]&amp;"",Tbl_Catalogue[],7,FALSE)=0,"-",VLOOKUP(Tbl_Donnees[[#This Row],[Référence]]&amp;"",Tbl_Catalogue[],7,FALSE)),"-")</f>
        <v>NON</v>
      </c>
      <c r="L210" s="5" t="str">
        <f>IFERROR(IF(VLOOKUP(Tbl_Donnees[[#This Row],[Référence]]&amp;"",Tbl_Catalogue[],10,FALSE)=0,"-",VLOOKUP(Tbl_Donnees[[#This Row],[Référence]]&amp;"",Tbl_Catalogue[],10,FALSE)),"-")</f>
        <v>-</v>
      </c>
      <c r="M210" s="2" t="str">
        <f>IFERROR(IF(VLOOKUP(Tbl_Donnees[[#This Row],[Référence]]&amp;"",Tbl_Catalogue[],8,FALSE)=0,"-",VLOOKUP(Tbl_Donnees[[#This Row],[Référence]]&amp;"",Tbl_Catalogue[],8,FALSE)),"-")</f>
        <v>-</v>
      </c>
      <c r="N210" s="5" t="str">
        <f>IFERROR(IF(VLOOKUP(Tbl_Donnees[[#This Row],[Référence]]&amp;"",Tbl_Catalogue[],9,FALSE)=0,"-",VLOOKUP(Tbl_Donnees[[#This Row],[Référence]]&amp;"",Tbl_Catalogue[],9,FALSE)),"-")</f>
        <v>-</v>
      </c>
      <c r="O210" s="5" t="str">
        <f>IFERROR(IF(VLOOKUP(Tbl_Donnees[[#This Row],[Référence]]&amp;"",Tbl_Catalogue[],11,FALSE)=0,"-",VLOOKUP(Tbl_Donnees[[#This Row],[Référence]]&amp;"",Tbl_Catalogue[],11,FALSE)),"-")</f>
        <v>-</v>
      </c>
      <c r="P210" s="2" t="str">
        <f>IFERROR(IF(VLOOKUP(Tbl_Donnees[[#This Row],[Référence]]&amp;"",Tbl_Catalogue[],12,FALSE)=0,"-",VLOOKUP(Tbl_Donnees[[#This Row],[Référence]]&amp;"",Tbl_Catalogue[],12,FALSE)),"-")</f>
        <v>-</v>
      </c>
      <c r="Q210" s="13" t="str">
        <f>IFERROR(IF(VLOOKUP(Tbl_Donnees[[#This Row],[Référence]]&amp;"",Tbl_Catalogue[],13,FALSE)=0,"-",VLOOKUP(Tbl_Donnees[[#This Row],[Référence]]&amp;"",Tbl_Catalogue[],13,FALSE)),"-")</f>
        <v>-</v>
      </c>
      <c r="R210" s="5"/>
    </row>
    <row r="211" spans="1:18" x14ac:dyDescent="0.2">
      <c r="A211" s="2" t="s">
        <v>357</v>
      </c>
      <c r="B211" s="5" t="s">
        <v>359</v>
      </c>
      <c r="C211" s="5" t="s">
        <v>60</v>
      </c>
      <c r="D211" s="6" t="str">
        <f>IFERROR(IF(VLOOKUP(Tbl_Donnees[[#This Row],[Référence]]&amp;"",Tbl_Catalogue[],3,FALSE)=0,"-",VLOOKUP(Tbl_Donnees[[#This Row],[Référence]]&amp;"",Tbl_Catalogue[],3,FALSE)),"-")</f>
        <v>ALIM. PS307 24V 5A</v>
      </c>
      <c r="E211" s="6">
        <v>1</v>
      </c>
      <c r="F211" s="6" t="str">
        <f>IFERROR(IF(VLOOKUP(Tbl_Donnees[[#This Row],[Référence]]&amp;"",Tbl_Catalogue[],2,FALSE)=0,"-",VLOOKUP(Tbl_Donnees[[#This Row],[Référence]]&amp;"",Tbl_Catalogue[],2,FALSE)),"-")</f>
        <v>SIEMENS</v>
      </c>
      <c r="G211" s="20" t="s">
        <v>416</v>
      </c>
      <c r="H211" s="6" t="str">
        <f>IFERROR(IF(VLOOKUP(Tbl_Donnees[[#This Row],[Référence]]&amp;"",Tbl_Catalogue[],4,FALSE)=0,"-",VLOOKUP(Tbl_Donnees[[#This Row],[Référence]]&amp;"",Tbl_Catalogue[],4,FALSE)),"-")</f>
        <v>Fin de vie du produit (01/01/2019)</v>
      </c>
      <c r="I211" s="2" t="str">
        <f>IFERROR(IF(VLOOKUP(Tbl_Donnees[[#This Row],[Référence]]&amp;"",Tbl_Catalogue[],5,FALSE)=0,"-",VLOOKUP(Tbl_Donnees[[#This Row],[Référence]]&amp;"",Tbl_Catalogue[],5,FALSE)),"INCONNU")</f>
        <v>OBSOLETE</v>
      </c>
      <c r="J21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https://sieportal.siemens.com/fr-fr/products-services/detail/6ES7307-1EA00-0AA0?tree=CatalogTree</v>
      </c>
      <c r="K211" s="2" t="str">
        <f>IFERROR(IF(VLOOKUP(Tbl_Donnees[[#This Row],[Référence]]&amp;"",Tbl_Catalogue[],7,FALSE)=0,"-",VLOOKUP(Tbl_Donnees[[#This Row],[Référence]]&amp;"",Tbl_Catalogue[],7,FALSE)),"-")</f>
        <v>OUI</v>
      </c>
      <c r="L211" s="5" t="str">
        <f>IFERROR(IF(VLOOKUP(Tbl_Donnees[[#This Row],[Référence]]&amp;"",Tbl_Catalogue[],10,FALSE)=0,"-",VLOOKUP(Tbl_Donnees[[#This Row],[Référence]]&amp;"",Tbl_Catalogue[],10,FALSE)),"-")</f>
        <v>-</v>
      </c>
      <c r="M211" s="2" t="str">
        <f>IFERROR(IF(VLOOKUP(Tbl_Donnees[[#This Row],[Référence]]&amp;"",Tbl_Catalogue[],8,FALSE)=0,"-",VLOOKUP(Tbl_Donnees[[#This Row],[Référence]]&amp;"",Tbl_Catalogue[],8,FALSE)),"-")</f>
        <v>6ES7307-1EA01-0AA0</v>
      </c>
      <c r="N211" s="5" t="str">
        <f>IFERROR(IF(VLOOKUP(Tbl_Donnees[[#This Row],[Référence]]&amp;"",Tbl_Catalogue[],9,FALSE)=0,"-",VLOOKUP(Tbl_Donnees[[#This Row],[Référence]]&amp;"",Tbl_Catalogue[],9,FALSE)),"-")</f>
        <v>SIEMENS</v>
      </c>
      <c r="O211" s="5" t="str">
        <f>IFERROR(IF(VLOOKUP(Tbl_Donnees[[#This Row],[Référence]]&amp;"",Tbl_Catalogue[],11,FALSE)=0,"-",VLOOKUP(Tbl_Donnees[[#This Row],[Référence]]&amp;"",Tbl_Catalogue[],11,FALSE)),"-")</f>
        <v>Fin de commercialisation active (01/10/2023)</v>
      </c>
      <c r="P211" s="2" t="str">
        <f>IFERROR(IF(VLOOKUP(Tbl_Donnees[[#This Row],[Référence]]&amp;"",Tbl_Catalogue[],12,FALSE)=0,"-",VLOOKUP(Tbl_Donnees[[#This Row],[Référence]]&amp;"",Tbl_Catalogue[],12,FALSE)),"-")</f>
        <v>PHASE OUT</v>
      </c>
      <c r="Q211" s="13" t="str">
        <f>IFERROR(IF(VLOOKUP(Tbl_Donnees[[#This Row],[Référence]]&amp;"",Tbl_Catalogue[],13,FALSE)=0,"-",VLOOKUP(Tbl_Donnees[[#This Row],[Référence]]&amp;"",Tbl_Catalogue[],13,FALSE)),"-")</f>
        <v>-</v>
      </c>
      <c r="R211" s="2"/>
    </row>
    <row r="212" spans="1:18" x14ac:dyDescent="0.2">
      <c r="A212" s="2" t="s">
        <v>357</v>
      </c>
      <c r="B212" s="5" t="s">
        <v>359</v>
      </c>
      <c r="C212" s="5" t="s">
        <v>60</v>
      </c>
      <c r="D212" s="6" t="str">
        <f>IFERROR(IF(VLOOKUP(Tbl_Donnees[[#This Row],[Référence]]&amp;"",Tbl_Catalogue[],3,FALSE)=0,"-",VLOOKUP(Tbl_Donnees[[#This Row],[Référence]]&amp;"",Tbl_Catalogue[],3,FALSE)),"-")</f>
        <v xml:space="preserve">MOD. CAME ELEC. FM352 </v>
      </c>
      <c r="E212" s="6">
        <v>2</v>
      </c>
      <c r="F212" s="6" t="str">
        <f>IFERROR(IF(VLOOKUP(Tbl_Donnees[[#This Row],[Référence]]&amp;"",Tbl_Catalogue[],2,FALSE)=0,"-",VLOOKUP(Tbl_Donnees[[#This Row],[Référence]]&amp;"",Tbl_Catalogue[],2,FALSE)),"-")</f>
        <v>SIEMENS</v>
      </c>
      <c r="G212" s="20" t="s">
        <v>420</v>
      </c>
      <c r="H212" s="6" t="str">
        <f>IFERROR(IF(VLOOKUP(Tbl_Donnees[[#This Row],[Référence]]&amp;"",Tbl_Catalogue[],4,FALSE)=0,"-",VLOOKUP(Tbl_Donnees[[#This Row],[Référence]]&amp;"",Tbl_Catalogue[],4,FALSE)),"-")</f>
        <v>Fin de vie du produit (01/10/2015)</v>
      </c>
      <c r="I212" s="2" t="str">
        <f>IFERROR(IF(VLOOKUP(Tbl_Donnees[[#This Row],[Référence]]&amp;"",Tbl_Catalogue[],5,FALSE)=0,"-",VLOOKUP(Tbl_Donnees[[#This Row],[Référence]]&amp;"",Tbl_Catalogue[],5,FALSE)),"INCONNU")</f>
        <v>OBSOLETE</v>
      </c>
      <c r="J21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https://sieportal.siemens.com/fr-fr/products-services/detail/6ES7352-1AH01-0AE0?tree=CatalogTree</v>
      </c>
      <c r="K212" s="2" t="str">
        <f>IFERROR(IF(VLOOKUP(Tbl_Donnees[[#This Row],[Référence]]&amp;"",Tbl_Catalogue[],7,FALSE)=0,"-",VLOOKUP(Tbl_Donnees[[#This Row],[Référence]]&amp;"",Tbl_Catalogue[],7,FALSE)),"-")</f>
        <v>OUI</v>
      </c>
      <c r="L212" s="5" t="str">
        <f>IFERROR(IF(VLOOKUP(Tbl_Donnees[[#This Row],[Référence]]&amp;"",Tbl_Catalogue[],10,FALSE)=0,"-",VLOOKUP(Tbl_Donnees[[#This Row],[Référence]]&amp;"",Tbl_Catalogue[],10,FALSE)),"-")</f>
        <v>-</v>
      </c>
      <c r="M212" s="2" t="str">
        <f>IFERROR(IF(VLOOKUP(Tbl_Donnees[[#This Row],[Référence]]&amp;"",Tbl_Catalogue[],8,FALSE)=0,"-",VLOOKUP(Tbl_Donnees[[#This Row],[Référence]]&amp;"",Tbl_Catalogue[],8,FALSE)),"-")</f>
        <v>6ES7352-1AH02-0AE0</v>
      </c>
      <c r="N212" s="5" t="str">
        <f>IFERROR(IF(VLOOKUP(Tbl_Donnees[[#This Row],[Référence]]&amp;"",Tbl_Catalogue[],9,FALSE)=0,"-",VLOOKUP(Tbl_Donnees[[#This Row],[Référence]]&amp;"",Tbl_Catalogue[],9,FALSE)),"-")</f>
        <v>SIEMENS</v>
      </c>
      <c r="O212" s="5" t="str">
        <f>IFERROR(IF(VLOOKUP(Tbl_Donnees[[#This Row],[Référence]]&amp;"",Tbl_Catalogue[],11,FALSE)=0,"-",VLOOKUP(Tbl_Donnees[[#This Row],[Référence]]&amp;"",Tbl_Catalogue[],11,FALSE)),"-")</f>
        <v>Pièce de rechange
 (01/10/2025)</v>
      </c>
      <c r="P212" s="2" t="str">
        <f>IFERROR(IF(VLOOKUP(Tbl_Donnees[[#This Row],[Référence]]&amp;"",Tbl_Catalogue[],12,FALSE)=0,"-",VLOOKUP(Tbl_Donnees[[#This Row],[Référence]]&amp;"",Tbl_Catalogue[],12,FALSE)),"-")</f>
        <v>RECHANGE</v>
      </c>
      <c r="Q212" s="13" t="str">
        <f>IFERROR(IF(VLOOKUP(Tbl_Donnees[[#This Row],[Référence]]&amp;"",Tbl_Catalogue[],13,FALSE)=0,"-",VLOOKUP(Tbl_Donnees[[#This Row],[Référence]]&amp;"",Tbl_Catalogue[],13,FALSE)),"-")</f>
        <v>-</v>
      </c>
      <c r="R212" s="5"/>
    </row>
    <row r="213" spans="1:18" x14ac:dyDescent="0.2">
      <c r="A213" s="2" t="s">
        <v>357</v>
      </c>
      <c r="B213" s="5" t="s">
        <v>359</v>
      </c>
      <c r="C213" s="5" t="s">
        <v>60</v>
      </c>
      <c r="D213" s="6" t="str">
        <f>IFERROR(IF(VLOOKUP(Tbl_Donnees[[#This Row],[Référence]]&amp;"",Tbl_Catalogue[],3,FALSE)=0,"-",VLOOKUP(Tbl_Donnees[[#This Row],[Référence]]&amp;"",Tbl_Catalogue[],3,FALSE)),"-")</f>
        <v>BLOC CONTACT NO 22/30MM</v>
      </c>
      <c r="E213" s="6">
        <v>1</v>
      </c>
      <c r="F213" s="6" t="str">
        <f>IFERROR(IF(VLOOKUP(Tbl_Donnees[[#This Row],[Référence]]&amp;"",Tbl_Catalogue[],2,FALSE)=0,"-",VLOOKUP(Tbl_Donnees[[#This Row],[Référence]]&amp;"",Tbl_Catalogue[],2,FALSE)),"-")</f>
        <v>SIEMENS</v>
      </c>
      <c r="G213" s="20" t="s">
        <v>427</v>
      </c>
      <c r="H213" s="6" t="str">
        <f>IFERROR(IF(VLOOKUP(Tbl_Donnees[[#This Row],[Référence]]&amp;"",Tbl_Catalogue[],4,FALSE)=0,"-",VLOOKUP(Tbl_Donnees[[#This Row],[Référence]]&amp;"",Tbl_Catalogue[],4,FALSE)),"-")</f>
        <v>Fin de vie du produit (22/03/2024)</v>
      </c>
      <c r="I213" s="2" t="str">
        <f>IFERROR(IF(VLOOKUP(Tbl_Donnees[[#This Row],[Référence]]&amp;"",Tbl_Catalogue[],5,FALSE)=0,"-",VLOOKUP(Tbl_Donnees[[#This Row],[Référence]]&amp;"",Tbl_Catalogue[],5,FALSE)),"INCONNU")</f>
        <v>OBSOLETE</v>
      </c>
      <c r="J21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https://sieportal.siemens.com/fr-fr/products-services/detail/3SB1400-0B?tree=CatalogTree</v>
      </c>
      <c r="K213" s="2" t="str">
        <f>IFERROR(IF(VLOOKUP(Tbl_Donnees[[#This Row],[Référence]]&amp;"",Tbl_Catalogue[],7,FALSE)=0,"-",VLOOKUP(Tbl_Donnees[[#This Row],[Référence]]&amp;"",Tbl_Catalogue[],7,FALSE)),"-")</f>
        <v>NON</v>
      </c>
      <c r="L213" s="5" t="str">
        <f>IFERROR(IF(VLOOKUP(Tbl_Donnees[[#This Row],[Référence]]&amp;"",Tbl_Catalogue[],10,FALSE)=0,"-",VLOOKUP(Tbl_Donnees[[#This Row],[Référence]]&amp;"",Tbl_Catalogue[],10,FALSE)),"-")</f>
        <v>-</v>
      </c>
      <c r="M213" s="2" t="str">
        <f>IFERROR(IF(VLOOKUP(Tbl_Donnees[[#This Row],[Référence]]&amp;"",Tbl_Catalogue[],8,FALSE)=0,"-",VLOOKUP(Tbl_Donnees[[#This Row],[Référence]]&amp;"",Tbl_Catalogue[],8,FALSE)),"-")</f>
        <v>-</v>
      </c>
      <c r="N213" s="5" t="str">
        <f>IFERROR(IF(VLOOKUP(Tbl_Donnees[[#This Row],[Référence]]&amp;"",Tbl_Catalogue[],9,FALSE)=0,"-",VLOOKUP(Tbl_Donnees[[#This Row],[Référence]]&amp;"",Tbl_Catalogue[],9,FALSE)),"-")</f>
        <v>-</v>
      </c>
      <c r="O213" s="5" t="str">
        <f>IFERROR(IF(VLOOKUP(Tbl_Donnees[[#This Row],[Référence]]&amp;"",Tbl_Catalogue[],11,FALSE)=0,"-",VLOOKUP(Tbl_Donnees[[#This Row],[Référence]]&amp;"",Tbl_Catalogue[],11,FALSE)),"-")</f>
        <v>-</v>
      </c>
      <c r="P213" s="2" t="str">
        <f>IFERROR(IF(VLOOKUP(Tbl_Donnees[[#This Row],[Référence]]&amp;"",Tbl_Catalogue[],12,FALSE)=0,"-",VLOOKUP(Tbl_Donnees[[#This Row],[Référence]]&amp;"",Tbl_Catalogue[],12,FALSE)),"-")</f>
        <v>-</v>
      </c>
      <c r="Q213" s="13" t="str">
        <f>IFERROR(IF(VLOOKUP(Tbl_Donnees[[#This Row],[Référence]]&amp;"",Tbl_Catalogue[],13,FALSE)=0,"-",VLOOKUP(Tbl_Donnees[[#This Row],[Référence]]&amp;"",Tbl_Catalogue[],13,FALSE)),"-")</f>
        <v>-</v>
      </c>
      <c r="R213" s="2"/>
    </row>
    <row r="214" spans="1:18" x14ac:dyDescent="0.2">
      <c r="A214" s="2" t="s">
        <v>357</v>
      </c>
      <c r="B214" s="5" t="s">
        <v>359</v>
      </c>
      <c r="C214" s="5" t="s">
        <v>60</v>
      </c>
      <c r="D214" s="6" t="str">
        <f>IFERROR(IF(VLOOKUP(Tbl_Donnees[[#This Row],[Référence]]&amp;"",Tbl_Catalogue[],3,FALSE)=0,"-",VLOOKUP(Tbl_Donnees[[#This Row],[Référence]]&amp;"",Tbl_Catalogue[],3,FALSE)),"-")</f>
        <v>ALIM. SITOP 24V 20A</v>
      </c>
      <c r="E214" s="6">
        <v>1</v>
      </c>
      <c r="F214" s="6" t="str">
        <f>IFERROR(IF(VLOOKUP(Tbl_Donnees[[#This Row],[Référence]]&amp;"",Tbl_Catalogue[],2,FALSE)=0,"-",VLOOKUP(Tbl_Donnees[[#This Row],[Référence]]&amp;"",Tbl_Catalogue[],2,FALSE)),"-")</f>
        <v>SIEMENS</v>
      </c>
      <c r="G214" s="20" t="s">
        <v>431</v>
      </c>
      <c r="H214" s="6" t="str">
        <f>IFERROR(IF(VLOOKUP(Tbl_Donnees[[#This Row],[Référence]]&amp;"",Tbl_Catalogue[],4,FALSE)=0,"-",VLOOKUP(Tbl_Donnees[[#This Row],[Référence]]&amp;"",Tbl_Catalogue[],4,FALSE)),"-")</f>
        <v>Fin de vie du produit (01/01/2019)</v>
      </c>
      <c r="I214" s="2" t="str">
        <f>IFERROR(IF(VLOOKUP(Tbl_Donnees[[#This Row],[Référence]]&amp;"",Tbl_Catalogue[],5,FALSE)=0,"-",VLOOKUP(Tbl_Donnees[[#This Row],[Référence]]&amp;"",Tbl_Catalogue[],5,FALSE)),"INCONNU")</f>
        <v>OBSOLETE</v>
      </c>
      <c r="J21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https://sieportal.siemens.com/fr-fr/products-services/detail/6EP1436-2BA00?tree=CatalogTree</v>
      </c>
      <c r="K214" s="2" t="str">
        <f>IFERROR(IF(VLOOKUP(Tbl_Donnees[[#This Row],[Référence]]&amp;"",Tbl_Catalogue[],7,FALSE)=0,"-",VLOOKUP(Tbl_Donnees[[#This Row],[Référence]]&amp;"",Tbl_Catalogue[],7,FALSE)),"-")</f>
        <v>OUI</v>
      </c>
      <c r="L214" s="5" t="str">
        <f>IFERROR(IF(VLOOKUP(Tbl_Donnees[[#This Row],[Référence]]&amp;"",Tbl_Catalogue[],10,FALSE)=0,"-",VLOOKUP(Tbl_Donnees[[#This Row],[Référence]]&amp;"",Tbl_Catalogue[],10,FALSE)),"-")</f>
        <v>-</v>
      </c>
      <c r="M214" s="2" t="str">
        <f>IFERROR(IF(VLOOKUP(Tbl_Donnees[[#This Row],[Référence]]&amp;"",Tbl_Catalogue[],8,FALSE)=0,"-",VLOOKUP(Tbl_Donnees[[#This Row],[Référence]]&amp;"",Tbl_Catalogue[],8,FALSE)),"-")</f>
        <v>6EP1436-2BA10</v>
      </c>
      <c r="N214" s="5" t="str">
        <f>IFERROR(IF(VLOOKUP(Tbl_Donnees[[#This Row],[Référence]]&amp;"",Tbl_Catalogue[],9,FALSE)=0,"-",VLOOKUP(Tbl_Donnees[[#This Row],[Référence]]&amp;"",Tbl_Catalogue[],9,FALSE)),"-")</f>
        <v>SIEMENS</v>
      </c>
      <c r="O214" s="5" t="str">
        <f>IFERROR(IF(VLOOKUP(Tbl_Donnees[[#This Row],[Référence]]&amp;"",Tbl_Catalogue[],11,FALSE)=0,"-",VLOOKUP(Tbl_Donnees[[#This Row],[Référence]]&amp;"",Tbl_Catalogue[],11,FALSE)),"-")</f>
        <v>Produit actif </v>
      </c>
      <c r="P214" s="2" t="str">
        <f>IFERROR(IF(VLOOKUP(Tbl_Donnees[[#This Row],[Référence]]&amp;"",Tbl_Catalogue[],12,FALSE)=0,"-",VLOOKUP(Tbl_Donnees[[#This Row],[Référence]]&amp;"",Tbl_Catalogue[],12,FALSE)),"-")</f>
        <v>ACTIF</v>
      </c>
      <c r="Q214" s="13" t="str">
        <f>IFERROR(IF(VLOOKUP(Tbl_Donnees[[#This Row],[Référence]]&amp;"",Tbl_Catalogue[],13,FALSE)=0,"-",VLOOKUP(Tbl_Donnees[[#This Row],[Référence]]&amp;"",Tbl_Catalogue[],13,FALSE)),"-")</f>
        <v>-</v>
      </c>
      <c r="R214" s="5"/>
    </row>
    <row r="215" spans="1:18" x14ac:dyDescent="0.2">
      <c r="A215" s="2" t="s">
        <v>357</v>
      </c>
      <c r="B215" s="5" t="s">
        <v>359</v>
      </c>
      <c r="C215" s="5" t="s">
        <v>60</v>
      </c>
      <c r="D215" s="6" t="str">
        <f>IFERROR(IF(VLOOKUP(Tbl_Donnees[[#This Row],[Référence]]&amp;"",Tbl_Catalogue[],3,FALSE)=0,"-",VLOOKUP(Tbl_Donnees[[#This Row],[Référence]]&amp;"",Tbl_Catalogue[],3,FALSE)),"-")</f>
        <v>PLC S7-300 CPU 315</v>
      </c>
      <c r="E215" s="6">
        <v>1</v>
      </c>
      <c r="F215" s="6" t="str">
        <f>IFERROR(IF(VLOOKUP(Tbl_Donnees[[#This Row],[Référence]]&amp;"",Tbl_Catalogue[],2,FALSE)=0,"-",VLOOKUP(Tbl_Donnees[[#This Row],[Référence]]&amp;"",Tbl_Catalogue[],2,FALSE)),"-")</f>
        <v>SIEMENS</v>
      </c>
      <c r="G215" s="20" t="s">
        <v>42</v>
      </c>
      <c r="H215" s="6" t="str">
        <f>IFERROR(IF(VLOOKUP(Tbl_Donnees[[#This Row],[Référence]]&amp;"",Tbl_Catalogue[],4,FALSE)=0,"-",VLOOKUP(Tbl_Donnees[[#This Row],[Référence]]&amp;"",Tbl_Catalogue[],4,FALSE)),"-")</f>
        <v>Fin de vie du produit (01/10/2016)</v>
      </c>
      <c r="I215" s="2" t="str">
        <f>IFERROR(IF(VLOOKUP(Tbl_Donnees[[#This Row],[Référence]]&amp;"",Tbl_Catalogue[],5,FALSE)=0,"-",VLOOKUP(Tbl_Donnees[[#This Row],[Référence]]&amp;"",Tbl_Catalogue[],5,FALSE)),"INCONNU")</f>
        <v>OBSOLETE</v>
      </c>
      <c r="J215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https://sieportal.siemens.com/fr-fr/products-services/detail/6ES7315-1AF03-0AB0?tree=CatalogTree</v>
      </c>
      <c r="K215" s="2" t="str">
        <f>IFERROR(IF(VLOOKUP(Tbl_Donnees[[#This Row],[Référence]]&amp;"",Tbl_Catalogue[],7,FALSE)=0,"-",VLOOKUP(Tbl_Donnees[[#This Row],[Référence]]&amp;"",Tbl_Catalogue[],7,FALSE)),"-")</f>
        <v>NON</v>
      </c>
      <c r="L215" s="5" t="str">
        <f>IFERROR(IF(VLOOKUP(Tbl_Donnees[[#This Row],[Référence]]&amp;"",Tbl_Catalogue[],10,FALSE)=0,"-",VLOOKUP(Tbl_Donnees[[#This Row],[Référence]]&amp;"",Tbl_Catalogue[],10,FALSE)),"-")</f>
        <v>-</v>
      </c>
      <c r="M215" s="2" t="str">
        <f>IFERROR(IF(VLOOKUP(Tbl_Donnees[[#This Row],[Référence]]&amp;"",Tbl_Catalogue[],8,FALSE)=0,"-",VLOOKUP(Tbl_Donnees[[#This Row],[Référence]]&amp;"",Tbl_Catalogue[],8,FALSE)),"-")</f>
        <v>-</v>
      </c>
      <c r="N215" s="5" t="str">
        <f>IFERROR(IF(VLOOKUP(Tbl_Donnees[[#This Row],[Référence]]&amp;"",Tbl_Catalogue[],9,FALSE)=0,"-",VLOOKUP(Tbl_Donnees[[#This Row],[Référence]]&amp;"",Tbl_Catalogue[],9,FALSE)),"-")</f>
        <v>-</v>
      </c>
      <c r="O215" s="5" t="str">
        <f>IFERROR(IF(VLOOKUP(Tbl_Donnees[[#This Row],[Référence]]&amp;"",Tbl_Catalogue[],11,FALSE)=0,"-",VLOOKUP(Tbl_Donnees[[#This Row],[Référence]]&amp;"",Tbl_Catalogue[],11,FALSE)),"-")</f>
        <v>-</v>
      </c>
      <c r="P215" s="2" t="str">
        <f>IFERROR(IF(VLOOKUP(Tbl_Donnees[[#This Row],[Référence]]&amp;"",Tbl_Catalogue[],12,FALSE)=0,"-",VLOOKUP(Tbl_Donnees[[#This Row],[Référence]]&amp;"",Tbl_Catalogue[],12,FALSE)),"-")</f>
        <v>-</v>
      </c>
      <c r="Q215" s="13" t="str">
        <f>IFERROR(IF(VLOOKUP(Tbl_Donnees[[#This Row],[Référence]]&amp;"",Tbl_Catalogue[],13,FALSE)=0,"-",VLOOKUP(Tbl_Donnees[[#This Row],[Référence]]&amp;"",Tbl_Catalogue[],13,FALSE)),"-")</f>
        <v>-</v>
      </c>
      <c r="R215" s="2"/>
    </row>
    <row r="216" spans="1:18" x14ac:dyDescent="0.2">
      <c r="A216" s="2" t="s">
        <v>357</v>
      </c>
      <c r="B216" s="5" t="s">
        <v>359</v>
      </c>
      <c r="C216" s="5" t="s">
        <v>60</v>
      </c>
      <c r="D216" s="6" t="str">
        <f>IFERROR(IF(VLOOKUP(Tbl_Donnees[[#This Row],[Référence]]&amp;"",Tbl_Catalogue[],3,FALSE)=0,"-",VLOOKUP(Tbl_Donnees[[#This Row],[Référence]]&amp;"",Tbl_Catalogue[],3,FALSE)),"-")</f>
        <v>SERVOMOTEUR AVANCE 1FT5</v>
      </c>
      <c r="E216" s="6">
        <v>1</v>
      </c>
      <c r="F216" s="6" t="str">
        <f>IFERROR(IF(VLOOKUP(Tbl_Donnees[[#This Row],[Référence]]&amp;"",Tbl_Catalogue[],2,FALSE)=0,"-",VLOOKUP(Tbl_Donnees[[#This Row],[Référence]]&amp;"",Tbl_Catalogue[],2,FALSE)),"-")</f>
        <v>SIEMENS</v>
      </c>
      <c r="G216" s="20" t="s">
        <v>433</v>
      </c>
      <c r="H216" s="6" t="str">
        <f>IFERROR(IF(VLOOKUP(Tbl_Donnees[[#This Row],[Référence]]&amp;"",Tbl_Catalogue[],4,FALSE)=0,"-",VLOOKUP(Tbl_Donnees[[#This Row],[Référence]]&amp;"",Tbl_Catalogue[],4,FALSE)),"-")</f>
        <v>Produit obsolète (01/10/2016)</v>
      </c>
      <c r="I216" s="2" t="str">
        <f>IFERROR(IF(VLOOKUP(Tbl_Donnees[[#This Row],[Référence]]&amp;"",Tbl_Catalogue[],5,FALSE)=0,"-",VLOOKUP(Tbl_Donnees[[#This Row],[Référence]]&amp;"",Tbl_Catalogue[],5,FALSE)),"INCONNU")</f>
        <v>OBSOLETE</v>
      </c>
      <c r="J216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https://sieportal.siemens.com/fr-fr/products-services/detail/1FT5076-1AF71-4AB0?tree=CatalogTree</v>
      </c>
      <c r="K216" s="2" t="str">
        <f>IFERROR(IF(VLOOKUP(Tbl_Donnees[[#This Row],[Référence]]&amp;"",Tbl_Catalogue[],7,FALSE)=0,"-",VLOOKUP(Tbl_Donnees[[#This Row],[Référence]]&amp;"",Tbl_Catalogue[],7,FALSE)),"-")</f>
        <v>OUI</v>
      </c>
      <c r="L216" s="5" t="str">
        <f>IFERROR(IF(VLOOKUP(Tbl_Donnees[[#This Row],[Référence]]&amp;"",Tbl_Catalogue[],10,FALSE)=0,"-",VLOOKUP(Tbl_Donnees[[#This Row],[Référence]]&amp;"",Tbl_Catalogue[],10,FALSE)),"-")</f>
        <v>-</v>
      </c>
      <c r="M216" s="2" t="str">
        <f>IFERROR(IF(VLOOKUP(Tbl_Donnees[[#This Row],[Référence]]&amp;"",Tbl_Catalogue[],8,FALSE)=0,"-",VLOOKUP(Tbl_Donnees[[#This Row],[Référence]]&amp;"",Tbl_Catalogue[],8,FALSE)),"-")</f>
        <v>1FT6/1FK7 (en partie compatible)</v>
      </c>
      <c r="N216" s="5" t="str">
        <f>IFERROR(IF(VLOOKUP(Tbl_Donnees[[#This Row],[Référence]]&amp;"",Tbl_Catalogue[],9,FALSE)=0,"-",VLOOKUP(Tbl_Donnees[[#This Row],[Référence]]&amp;"",Tbl_Catalogue[],9,FALSE)),"-")</f>
        <v>SIEMENS</v>
      </c>
      <c r="O216" s="5" t="str">
        <f>IFERROR(IF(VLOOKUP(Tbl_Donnees[[#This Row],[Référence]]&amp;"",Tbl_Catalogue[],11,FALSE)=0,"-",VLOOKUP(Tbl_Donnees[[#This Row],[Référence]]&amp;"",Tbl_Catalogue[],11,FALSE)),"-")</f>
        <v>-</v>
      </c>
      <c r="P216" s="2" t="str">
        <f>IFERROR(IF(VLOOKUP(Tbl_Donnees[[#This Row],[Référence]]&amp;"",Tbl_Catalogue[],12,FALSE)=0,"-",VLOOKUP(Tbl_Donnees[[#This Row],[Référence]]&amp;"",Tbl_Catalogue[],12,FALSE)),"-")</f>
        <v>ACTIF</v>
      </c>
      <c r="Q216" s="13" t="str">
        <f>IFERROR(IF(VLOOKUP(Tbl_Donnees[[#This Row],[Référence]]&amp;"",Tbl_Catalogue[],13,FALSE)=0,"-",VLOOKUP(Tbl_Donnees[[#This Row],[Référence]]&amp;"",Tbl_Catalogue[],13,FALSE)),"-")</f>
        <v>-</v>
      </c>
      <c r="R216" s="5"/>
    </row>
    <row r="217" spans="1:18" x14ac:dyDescent="0.2">
      <c r="A217" s="2" t="s">
        <v>357</v>
      </c>
      <c r="B217" s="5" t="s">
        <v>359</v>
      </c>
      <c r="C217" s="5" t="s">
        <v>60</v>
      </c>
      <c r="D217" s="6" t="str">
        <f>IFERROR(IF(VLOOKUP(Tbl_Donnees[[#This Row],[Référence]]&amp;"",Tbl_Catalogue[],3,FALSE)=0,"-",VLOOKUP(Tbl_Donnees[[#This Row],[Référence]]&amp;"",Tbl_Catalogue[],3,FALSE)),"-")</f>
        <v>RELAIS TEMP. RETARD APPEL</v>
      </c>
      <c r="E217" s="6">
        <v>1</v>
      </c>
      <c r="F217" s="6" t="str">
        <f>IFERROR(IF(VLOOKUP(Tbl_Donnees[[#This Row],[Référence]]&amp;"",Tbl_Catalogue[],2,FALSE)=0,"-",VLOOKUP(Tbl_Donnees[[#This Row],[Référence]]&amp;"",Tbl_Catalogue[],2,FALSE)),"-")</f>
        <v>SIEMENS</v>
      </c>
      <c r="G217" s="20" t="s">
        <v>437</v>
      </c>
      <c r="H217" s="6" t="str">
        <f>IFERROR(IF(VLOOKUP(Tbl_Donnees[[#This Row],[Référence]]&amp;"",Tbl_Catalogue[],4,FALSE)=0,"-",VLOOKUP(Tbl_Donnees[[#This Row],[Référence]]&amp;"",Tbl_Catalogue[],4,FALSE)),"-")</f>
        <v>Produit obsolète (01/10/2021)</v>
      </c>
      <c r="I217" s="2" t="str">
        <f>IFERROR(IF(VLOOKUP(Tbl_Donnees[[#This Row],[Référence]]&amp;"",Tbl_Catalogue[],5,FALSE)=0,"-",VLOOKUP(Tbl_Donnees[[#This Row],[Référence]]&amp;"",Tbl_Catalogue[],5,FALSE)),"INCONNU")</f>
        <v>OBSOLETE</v>
      </c>
      <c r="J217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https://sieportal.siemens.com/fr-fr/products-services/detail/3RP1511-1AP30?tree=CatalogTree</v>
      </c>
      <c r="K217" s="2" t="str">
        <f>IFERROR(IF(VLOOKUP(Tbl_Donnees[[#This Row],[Référence]]&amp;"",Tbl_Catalogue[],7,FALSE)=0,"-",VLOOKUP(Tbl_Donnees[[#This Row],[Référence]]&amp;"",Tbl_Catalogue[],7,FALSE)),"-")</f>
        <v>OUI</v>
      </c>
      <c r="L217" s="5" t="str">
        <f>IFERROR(IF(VLOOKUP(Tbl_Donnees[[#This Row],[Référence]]&amp;"",Tbl_Catalogue[],10,FALSE)=0,"-",VLOOKUP(Tbl_Donnees[[#This Row],[Référence]]&amp;"",Tbl_Catalogue[],10,FALSE)),"-")</f>
        <v>-</v>
      </c>
      <c r="M217" s="2" t="str">
        <f>IFERROR(IF(VLOOKUP(Tbl_Donnees[[#This Row],[Référence]]&amp;"",Tbl_Catalogue[],8,FALSE)=0,"-",VLOOKUP(Tbl_Donnees[[#This Row],[Référence]]&amp;"",Tbl_Catalogue[],8,FALSE)),"-")</f>
        <v>3RP2511-1AW30</v>
      </c>
      <c r="N217" s="5" t="str">
        <f>IFERROR(IF(VLOOKUP(Tbl_Donnees[[#This Row],[Référence]]&amp;"",Tbl_Catalogue[],9,FALSE)=0,"-",VLOOKUP(Tbl_Donnees[[#This Row],[Référence]]&amp;"",Tbl_Catalogue[],9,FALSE)),"-")</f>
        <v>SIEMENS</v>
      </c>
      <c r="O217" s="5" t="str">
        <f>IFERROR(IF(VLOOKUP(Tbl_Donnees[[#This Row],[Référence]]&amp;"",Tbl_Catalogue[],11,FALSE)=0,"-",VLOOKUP(Tbl_Donnees[[#This Row],[Référence]]&amp;"",Tbl_Catalogue[],11,FALSE)),"-")</f>
        <v>Produit actif </v>
      </c>
      <c r="P217" s="2" t="str">
        <f>IFERROR(IF(VLOOKUP(Tbl_Donnees[[#This Row],[Référence]]&amp;"",Tbl_Catalogue[],12,FALSE)=0,"-",VLOOKUP(Tbl_Donnees[[#This Row],[Référence]]&amp;"",Tbl_Catalogue[],12,FALSE)),"-")</f>
        <v>ACTIF</v>
      </c>
      <c r="Q217" s="13" t="str">
        <f>IFERROR(IF(VLOOKUP(Tbl_Donnees[[#This Row],[Référence]]&amp;"",Tbl_Catalogue[],13,FALSE)=0,"-",VLOOKUP(Tbl_Donnees[[#This Row],[Référence]]&amp;"",Tbl_Catalogue[],13,FALSE)),"-")</f>
        <v>-</v>
      </c>
      <c r="R217" s="2"/>
    </row>
    <row r="218" spans="1:18" x14ac:dyDescent="0.2">
      <c r="A218" s="2" t="s">
        <v>357</v>
      </c>
      <c r="B218" s="5" t="s">
        <v>359</v>
      </c>
      <c r="C218" s="5" t="s">
        <v>60</v>
      </c>
      <c r="D218" s="6" t="str">
        <f>IFERROR(IF(VLOOKUP(Tbl_Donnees[[#This Row],[Référence]]&amp;"",Tbl_Catalogue[],3,FALSE)=0,"-",VLOOKUP(Tbl_Donnees[[#This Row],[Référence]]&amp;"",Tbl_Catalogue[],3,FALSE)),"-")</f>
        <v>MOTEUR BASSE TENSION</v>
      </c>
      <c r="E218" s="6">
        <v>1</v>
      </c>
      <c r="F218" s="6" t="str">
        <f>IFERROR(IF(VLOOKUP(Tbl_Donnees[[#This Row],[Référence]]&amp;"",Tbl_Catalogue[],2,FALSE)=0,"-",VLOOKUP(Tbl_Donnees[[#This Row],[Référence]]&amp;"",Tbl_Catalogue[],2,FALSE)),"-")</f>
        <v>SIEMENS</v>
      </c>
      <c r="G218" s="20" t="s">
        <v>487</v>
      </c>
      <c r="H218" s="6" t="str">
        <f>IFERROR(IF(VLOOKUP(Tbl_Donnees[[#This Row],[Référence]]&amp;"",Tbl_Catalogue[],4,FALSE)=0,"-",VLOOKUP(Tbl_Donnees[[#This Row],[Référence]]&amp;"",Tbl_Catalogue[],4,FALSE)),"-")</f>
        <v>-</v>
      </c>
      <c r="I218" s="2" t="str">
        <f>IFERROR(IF(VLOOKUP(Tbl_Donnees[[#This Row],[Référence]]&amp;"",Tbl_Catalogue[],5,FALSE)=0,"-",VLOOKUP(Tbl_Donnees[[#This Row],[Référence]]&amp;"",Tbl_Catalogue[],5,FALSE)),"INCONNU")</f>
        <v>INCONNU</v>
      </c>
      <c r="J218" s="3" t="str">
        <f>IFERROR(IF(VLOOKUP(Tbl_Donnees[[#This Row],[Référence]]&amp;"",Tbl_Catalogue[],6,FALSE)=0,"-",VLOOKUP(Tbl_Donnees[[#This Row],[Référence]]&amp;"",Tbl_Catalogue[],6,FALSE)),"-")</f>
        <v>https://support.industry.siemens.com/cs/pd/539536?pdti=pc&amp;dl=fr&amp;lc=fr-FR</v>
      </c>
      <c r="K218" s="2" t="str">
        <f>IFERROR(IF(VLOOKUP(Tbl_Donnees[[#This Row],[Référence]]&amp;"",Tbl_Catalogue[],7,FALSE)=0,"-",VLOOKUP(Tbl_Donnees[[#This Row],[Référence]]&amp;"",Tbl_Catalogue[],7,FALSE)),"-")</f>
        <v>INCONNU</v>
      </c>
      <c r="L218" s="5" t="str">
        <f>IFERROR(IF(VLOOKUP(Tbl_Donnees[[#This Row],[Référence]]&amp;"",Tbl_Catalogue[],10,FALSE)=0,"-",VLOOKUP(Tbl_Donnees[[#This Row],[Référence]]&amp;"",Tbl_Catalogue[],10,FALSE)),"-")</f>
        <v>-</v>
      </c>
      <c r="M218" s="2" t="str">
        <f>IFERROR(IF(VLOOKUP(Tbl_Donnees[[#This Row],[Référence]]&amp;"",Tbl_Catalogue[],8,FALSE)=0,"-",VLOOKUP(Tbl_Donnees[[#This Row],[Référence]]&amp;"",Tbl_Catalogue[],8,FALSE)),"-")</f>
        <v>-</v>
      </c>
      <c r="N218" s="5" t="str">
        <f>IFERROR(IF(VLOOKUP(Tbl_Donnees[[#This Row],[Référence]]&amp;"",Tbl_Catalogue[],9,FALSE)=0,"-",VLOOKUP(Tbl_Donnees[[#This Row],[Référence]]&amp;"",Tbl_Catalogue[],9,FALSE)),"-")</f>
        <v>-</v>
      </c>
      <c r="O218" s="5" t="str">
        <f>IFERROR(IF(VLOOKUP(Tbl_Donnees[[#This Row],[Référence]]&amp;"",Tbl_Catalogue[],11,FALSE)=0,"-",VLOOKUP(Tbl_Donnees[[#This Row],[Référence]]&amp;"",Tbl_Catalogue[],11,FALSE)),"-")</f>
        <v>-</v>
      </c>
      <c r="P218" s="2" t="str">
        <f>IFERROR(IF(VLOOKUP(Tbl_Donnees[[#This Row],[Référence]]&amp;"",Tbl_Catalogue[],12,FALSE)=0,"-",VLOOKUP(Tbl_Donnees[[#This Row],[Référence]]&amp;"",Tbl_Catalogue[],12,FALSE)),"-")</f>
        <v>-</v>
      </c>
      <c r="Q218" s="13" t="str">
        <f>IFERROR(IF(VLOOKUP(Tbl_Donnees[[#This Row],[Référence]]&amp;"",Tbl_Catalogue[],13,FALSE)=0,"-",VLOOKUP(Tbl_Donnees[[#This Row],[Référence]]&amp;"",Tbl_Catalogue[],13,FALSE)),"-")</f>
        <v>-</v>
      </c>
      <c r="R218" s="5"/>
    </row>
    <row r="219" spans="1:18" x14ac:dyDescent="0.2">
      <c r="A219" s="2" t="s">
        <v>357</v>
      </c>
      <c r="B219" s="5" t="s">
        <v>359</v>
      </c>
      <c r="C219" s="5" t="s">
        <v>60</v>
      </c>
      <c r="D219" s="6" t="str">
        <f>IFERROR(IF(VLOOKUP(Tbl_Donnees[[#This Row],[Référence]]&amp;"",Tbl_Catalogue[],3,FALSE)=0,"-",VLOOKUP(Tbl_Donnees[[#This Row],[Référence]]&amp;"",Tbl_Catalogue[],3,FALSE)),"-")</f>
        <v xml:space="preserve">DISJONCTEUR TAILLE S00 </v>
      </c>
      <c r="E219" s="6">
        <v>3</v>
      </c>
      <c r="F219" s="6" t="str">
        <f>IFERROR(IF(VLOOKUP(Tbl_Donnees[[#This Row],[Référence]]&amp;"",Tbl_Catalogue[],2,FALSE)=0,"-",VLOOKUP(Tbl_Donnees[[#This Row],[Référence]]&amp;"",Tbl_Catalogue[],2,FALSE)),"-")</f>
        <v>SIEMENS</v>
      </c>
      <c r="G219" s="20" t="s">
        <v>393</v>
      </c>
      <c r="H219" s="6" t="str">
        <f>IFERROR(IF(VLOOKUP(Tbl_Donnees[[#This Row],[Référence]]&amp;"",Tbl_Catalogue[],4,FALSE)=0,"-",VLOOKUP(Tbl_Donnees[[#This Row],[Référence]]&amp;"",Tbl_Catalogue[],4,FALSE)),"-")</f>
        <v>Produit actif </v>
      </c>
      <c r="I219" s="2" t="str">
        <f>IFERROR(IF(VLOOKUP(Tbl_Donnees[[#This Row],[Référence]]&amp;"",Tbl_Catalogue[],5,FALSE)=0,"-",VLOOKUP(Tbl_Donnees[[#This Row],[Référence]]&amp;"",Tbl_Catalogue[],5,FALSE)),"INCONNU")</f>
        <v>ACTIF</v>
      </c>
      <c r="J219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https://sieportal.siemens.com/fr-fr/products-services/detail/3RV1011-1JA10?tree=CatalogTree</v>
      </c>
      <c r="K219" s="2" t="str">
        <f>IFERROR(IF(VLOOKUP(Tbl_Donnees[[#This Row],[Référence]]&amp;"",Tbl_Catalogue[],7,FALSE)=0,"-",VLOOKUP(Tbl_Donnees[[#This Row],[Référence]]&amp;"",Tbl_Catalogue[],7,FALSE)),"-")</f>
        <v>-</v>
      </c>
      <c r="L219" s="5" t="str">
        <f>IFERROR(IF(VLOOKUP(Tbl_Donnees[[#This Row],[Référence]]&amp;"",Tbl_Catalogue[],10,FALSE)=0,"-",VLOOKUP(Tbl_Donnees[[#This Row],[Référence]]&amp;"",Tbl_Catalogue[],10,FALSE)),"-")</f>
        <v>-</v>
      </c>
      <c r="M219" s="2" t="str">
        <f>IFERROR(IF(VLOOKUP(Tbl_Donnees[[#This Row],[Référence]]&amp;"",Tbl_Catalogue[],8,FALSE)=0,"-",VLOOKUP(Tbl_Donnees[[#This Row],[Référence]]&amp;"",Tbl_Catalogue[],8,FALSE)),"-")</f>
        <v>-</v>
      </c>
      <c r="N219" s="5" t="str">
        <f>IFERROR(IF(VLOOKUP(Tbl_Donnees[[#This Row],[Référence]]&amp;"",Tbl_Catalogue[],9,FALSE)=0,"-",VLOOKUP(Tbl_Donnees[[#This Row],[Référence]]&amp;"",Tbl_Catalogue[],9,FALSE)),"-")</f>
        <v>-</v>
      </c>
      <c r="O219" s="5" t="str">
        <f>IFERROR(IF(VLOOKUP(Tbl_Donnees[[#This Row],[Référence]]&amp;"",Tbl_Catalogue[],11,FALSE)=0,"-",VLOOKUP(Tbl_Donnees[[#This Row],[Référence]]&amp;"",Tbl_Catalogue[],11,FALSE)),"-")</f>
        <v>-</v>
      </c>
      <c r="P219" s="2" t="str">
        <f>IFERROR(IF(VLOOKUP(Tbl_Donnees[[#This Row],[Référence]]&amp;"",Tbl_Catalogue[],12,FALSE)=0,"-",VLOOKUP(Tbl_Donnees[[#This Row],[Référence]]&amp;"",Tbl_Catalogue[],12,FALSE)),"-")</f>
        <v>-</v>
      </c>
      <c r="Q219" s="13" t="str">
        <f>IFERROR(IF(VLOOKUP(Tbl_Donnees[[#This Row],[Référence]]&amp;"",Tbl_Catalogue[],13,FALSE)=0,"-",VLOOKUP(Tbl_Donnees[[#This Row],[Référence]]&amp;"",Tbl_Catalogue[],13,FALSE)),"-")</f>
        <v>-</v>
      </c>
      <c r="R219" s="2"/>
    </row>
    <row r="220" spans="1:18" x14ac:dyDescent="0.2">
      <c r="A220" s="2" t="s">
        <v>357</v>
      </c>
      <c r="B220" s="5" t="s">
        <v>359</v>
      </c>
      <c r="C220" s="5" t="s">
        <v>60</v>
      </c>
      <c r="D220" s="6" t="str">
        <f>IFERROR(IF(VLOOKUP(Tbl_Donnees[[#This Row],[Référence]]&amp;"",Tbl_Catalogue[],3,FALSE)=0,"-",VLOOKUP(Tbl_Donnees[[#This Row],[Référence]]&amp;"",Tbl_Catalogue[],3,FALSE)),"-")</f>
        <v xml:space="preserve">DISJONCTEUR TAILLE S00 </v>
      </c>
      <c r="E220" s="6">
        <v>2</v>
      </c>
      <c r="F220" s="6" t="str">
        <f>IFERROR(IF(VLOOKUP(Tbl_Donnees[[#This Row],[Référence]]&amp;"",Tbl_Catalogue[],2,FALSE)=0,"-",VLOOKUP(Tbl_Donnees[[#This Row],[Référence]]&amp;"",Tbl_Catalogue[],2,FALSE)),"-")</f>
        <v>SIEMENS</v>
      </c>
      <c r="G220" s="20" t="s">
        <v>394</v>
      </c>
      <c r="H220" s="6" t="str">
        <f>IFERROR(IF(VLOOKUP(Tbl_Donnees[[#This Row],[Référence]]&amp;"",Tbl_Catalogue[],4,FALSE)=0,"-",VLOOKUP(Tbl_Donnees[[#This Row],[Référence]]&amp;"",Tbl_Catalogue[],4,FALSE)),"-")</f>
        <v>Produit actif </v>
      </c>
      <c r="I220" s="2" t="str">
        <f>IFERROR(IF(VLOOKUP(Tbl_Donnees[[#This Row],[Référence]]&amp;"",Tbl_Catalogue[],5,FALSE)=0,"-",VLOOKUP(Tbl_Donnees[[#This Row],[Référence]]&amp;"",Tbl_Catalogue[],5,FALSE)),"INCONNU")</f>
        <v>ACTIF</v>
      </c>
      <c r="J220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https://sieportal.siemens.com/fr-fr/products-services/detail/3RV1011-1AA10?tree=CatalogTree</v>
      </c>
      <c r="K220" s="2" t="str">
        <f>IFERROR(IF(VLOOKUP(Tbl_Donnees[[#This Row],[Référence]]&amp;"",Tbl_Catalogue[],7,FALSE)=0,"-",VLOOKUP(Tbl_Donnees[[#This Row],[Référence]]&amp;"",Tbl_Catalogue[],7,FALSE)),"-")</f>
        <v>-</v>
      </c>
      <c r="L220" s="5" t="str">
        <f>IFERROR(IF(VLOOKUP(Tbl_Donnees[[#This Row],[Référence]]&amp;"",Tbl_Catalogue[],10,FALSE)=0,"-",VLOOKUP(Tbl_Donnees[[#This Row],[Référence]]&amp;"",Tbl_Catalogue[],10,FALSE)),"-")</f>
        <v>-</v>
      </c>
      <c r="M220" s="2" t="str">
        <f>IFERROR(IF(VLOOKUP(Tbl_Donnees[[#This Row],[Référence]]&amp;"",Tbl_Catalogue[],8,FALSE)=0,"-",VLOOKUP(Tbl_Donnees[[#This Row],[Référence]]&amp;"",Tbl_Catalogue[],8,FALSE)),"-")</f>
        <v>-</v>
      </c>
      <c r="N220" s="5" t="str">
        <f>IFERROR(IF(VLOOKUP(Tbl_Donnees[[#This Row],[Référence]]&amp;"",Tbl_Catalogue[],9,FALSE)=0,"-",VLOOKUP(Tbl_Donnees[[#This Row],[Référence]]&amp;"",Tbl_Catalogue[],9,FALSE)),"-")</f>
        <v>-</v>
      </c>
      <c r="O220" s="5" t="str">
        <f>IFERROR(IF(VLOOKUP(Tbl_Donnees[[#This Row],[Référence]]&amp;"",Tbl_Catalogue[],11,FALSE)=0,"-",VLOOKUP(Tbl_Donnees[[#This Row],[Référence]]&amp;"",Tbl_Catalogue[],11,FALSE)),"-")</f>
        <v>-</v>
      </c>
      <c r="P220" s="2" t="str">
        <f>IFERROR(IF(VLOOKUP(Tbl_Donnees[[#This Row],[Référence]]&amp;"",Tbl_Catalogue[],12,FALSE)=0,"-",VLOOKUP(Tbl_Donnees[[#This Row],[Référence]]&amp;"",Tbl_Catalogue[],12,FALSE)),"-")</f>
        <v>-</v>
      </c>
      <c r="Q220" s="13" t="str">
        <f>IFERROR(IF(VLOOKUP(Tbl_Donnees[[#This Row],[Référence]]&amp;"",Tbl_Catalogue[],13,FALSE)=0,"-",VLOOKUP(Tbl_Donnees[[#This Row],[Référence]]&amp;"",Tbl_Catalogue[],13,FALSE)),"-")</f>
        <v>-</v>
      </c>
      <c r="R220" s="5"/>
    </row>
    <row r="221" spans="1:18" x14ac:dyDescent="0.2">
      <c r="A221" s="2" t="s">
        <v>357</v>
      </c>
      <c r="B221" s="5" t="s">
        <v>359</v>
      </c>
      <c r="C221" s="5" t="s">
        <v>60</v>
      </c>
      <c r="D221" s="6" t="str">
        <f>IFERROR(IF(VLOOKUP(Tbl_Donnees[[#This Row],[Référence]]&amp;"",Tbl_Catalogue[],3,FALSE)=0,"-",VLOOKUP(Tbl_Donnees[[#This Row],[Référence]]&amp;"",Tbl_Catalogue[],3,FALSE)),"-")</f>
        <v>DISJONCTEUR TAILLE S00</v>
      </c>
      <c r="E221" s="6">
        <v>1</v>
      </c>
      <c r="F221" s="6" t="str">
        <f>IFERROR(IF(VLOOKUP(Tbl_Donnees[[#This Row],[Référence]]&amp;"",Tbl_Catalogue[],2,FALSE)=0,"-",VLOOKUP(Tbl_Donnees[[#This Row],[Référence]]&amp;"",Tbl_Catalogue[],2,FALSE)),"-")</f>
        <v>SIEMENS</v>
      </c>
      <c r="G221" s="20" t="s">
        <v>396</v>
      </c>
      <c r="H221" s="6" t="str">
        <f>IFERROR(IF(VLOOKUP(Tbl_Donnees[[#This Row],[Référence]]&amp;"",Tbl_Catalogue[],4,FALSE)=0,"-",VLOOKUP(Tbl_Donnees[[#This Row],[Référence]]&amp;"",Tbl_Catalogue[],4,FALSE)),"-")</f>
        <v>Produit actif </v>
      </c>
      <c r="I221" s="2" t="str">
        <f>IFERROR(IF(VLOOKUP(Tbl_Donnees[[#This Row],[Référence]]&amp;"",Tbl_Catalogue[],5,FALSE)=0,"-",VLOOKUP(Tbl_Donnees[[#This Row],[Référence]]&amp;"",Tbl_Catalogue[],5,FALSE)),"INCONNU")</f>
        <v>ACTIF</v>
      </c>
      <c r="J221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https://sieportal.siemens.com/fr-fr/products-services/detail/3RV1011-0KA10?tree=CatalogTree</v>
      </c>
      <c r="K221" s="2" t="str">
        <f>IFERROR(IF(VLOOKUP(Tbl_Donnees[[#This Row],[Référence]]&amp;"",Tbl_Catalogue[],7,FALSE)=0,"-",VLOOKUP(Tbl_Donnees[[#This Row],[Référence]]&amp;"",Tbl_Catalogue[],7,FALSE)),"-")</f>
        <v>-</v>
      </c>
      <c r="L221" s="5" t="str">
        <f>IFERROR(IF(VLOOKUP(Tbl_Donnees[[#This Row],[Référence]]&amp;"",Tbl_Catalogue[],10,FALSE)=0,"-",VLOOKUP(Tbl_Donnees[[#This Row],[Référence]]&amp;"",Tbl_Catalogue[],10,FALSE)),"-")</f>
        <v>-</v>
      </c>
      <c r="M221" s="2" t="str">
        <f>IFERROR(IF(VLOOKUP(Tbl_Donnees[[#This Row],[Référence]]&amp;"",Tbl_Catalogue[],8,FALSE)=0,"-",VLOOKUP(Tbl_Donnees[[#This Row],[Référence]]&amp;"",Tbl_Catalogue[],8,FALSE)),"-")</f>
        <v>-</v>
      </c>
      <c r="N221" s="5" t="str">
        <f>IFERROR(IF(VLOOKUP(Tbl_Donnees[[#This Row],[Référence]]&amp;"",Tbl_Catalogue[],9,FALSE)=0,"-",VLOOKUP(Tbl_Donnees[[#This Row],[Référence]]&amp;"",Tbl_Catalogue[],9,FALSE)),"-")</f>
        <v>-</v>
      </c>
      <c r="O221" s="5" t="str">
        <f>IFERROR(IF(VLOOKUP(Tbl_Donnees[[#This Row],[Référence]]&amp;"",Tbl_Catalogue[],11,FALSE)=0,"-",VLOOKUP(Tbl_Donnees[[#This Row],[Référence]]&amp;"",Tbl_Catalogue[],11,FALSE)),"-")</f>
        <v>-</v>
      </c>
      <c r="P221" s="2" t="str">
        <f>IFERROR(IF(VLOOKUP(Tbl_Donnees[[#This Row],[Référence]]&amp;"",Tbl_Catalogue[],12,FALSE)=0,"-",VLOOKUP(Tbl_Donnees[[#This Row],[Référence]]&amp;"",Tbl_Catalogue[],12,FALSE)),"-")</f>
        <v>-</v>
      </c>
      <c r="Q221" s="13" t="str">
        <f>IFERROR(IF(VLOOKUP(Tbl_Donnees[[#This Row],[Référence]]&amp;"",Tbl_Catalogue[],13,FALSE)=0,"-",VLOOKUP(Tbl_Donnees[[#This Row],[Référence]]&amp;"",Tbl_Catalogue[],13,FALSE)),"-")</f>
        <v>-</v>
      </c>
      <c r="R221" s="2"/>
    </row>
    <row r="222" spans="1:18" x14ac:dyDescent="0.2">
      <c r="A222" s="2" t="s">
        <v>357</v>
      </c>
      <c r="B222" s="5" t="s">
        <v>359</v>
      </c>
      <c r="C222" s="5" t="s">
        <v>60</v>
      </c>
      <c r="D222" s="6" t="str">
        <f>IFERROR(IF(VLOOKUP(Tbl_Donnees[[#This Row],[Référence]]&amp;"",Tbl_Catalogue[],3,FALSE)=0,"-",VLOOKUP(Tbl_Donnees[[#This Row],[Référence]]&amp;"",Tbl_Catalogue[],3,FALSE)),"-")</f>
        <v>DISJONCTEUR TAILLE S00</v>
      </c>
      <c r="E222" s="6">
        <v>1</v>
      </c>
      <c r="F222" s="6" t="str">
        <f>IFERROR(IF(VLOOKUP(Tbl_Donnees[[#This Row],[Référence]]&amp;"",Tbl_Catalogue[],2,FALSE)=0,"-",VLOOKUP(Tbl_Donnees[[#This Row],[Référence]]&amp;"",Tbl_Catalogue[],2,FALSE)),"-")</f>
        <v>SIEMENS</v>
      </c>
      <c r="G222" s="20" t="s">
        <v>397</v>
      </c>
      <c r="H222" s="6" t="str">
        <f>IFERROR(IF(VLOOKUP(Tbl_Donnees[[#This Row],[Référence]]&amp;"",Tbl_Catalogue[],4,FALSE)=0,"-",VLOOKUP(Tbl_Donnees[[#This Row],[Référence]]&amp;"",Tbl_Catalogue[],4,FALSE)),"-")</f>
        <v>Produit actif </v>
      </c>
      <c r="I222" s="2" t="str">
        <f>IFERROR(IF(VLOOKUP(Tbl_Donnees[[#This Row],[Référence]]&amp;"",Tbl_Catalogue[],5,FALSE)=0,"-",VLOOKUP(Tbl_Donnees[[#This Row],[Référence]]&amp;"",Tbl_Catalogue[],5,FALSE)),"INCONNU")</f>
        <v>ACTIF</v>
      </c>
      <c r="J222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https://sieportal.siemens.com/fr-fr/products-services/detail/3RV1011-0EA10?tree=CatalogTree</v>
      </c>
      <c r="K222" s="2" t="str">
        <f>IFERROR(IF(VLOOKUP(Tbl_Donnees[[#This Row],[Référence]]&amp;"",Tbl_Catalogue[],7,FALSE)=0,"-",VLOOKUP(Tbl_Donnees[[#This Row],[Référence]]&amp;"",Tbl_Catalogue[],7,FALSE)),"-")</f>
        <v>-</v>
      </c>
      <c r="L222" s="5" t="str">
        <f>IFERROR(IF(VLOOKUP(Tbl_Donnees[[#This Row],[Référence]]&amp;"",Tbl_Catalogue[],10,FALSE)=0,"-",VLOOKUP(Tbl_Donnees[[#This Row],[Référence]]&amp;"",Tbl_Catalogue[],10,FALSE)),"-")</f>
        <v>-</v>
      </c>
      <c r="M222" s="2" t="str">
        <f>IFERROR(IF(VLOOKUP(Tbl_Donnees[[#This Row],[Référence]]&amp;"",Tbl_Catalogue[],8,FALSE)=0,"-",VLOOKUP(Tbl_Donnees[[#This Row],[Référence]]&amp;"",Tbl_Catalogue[],8,FALSE)),"-")</f>
        <v>-</v>
      </c>
      <c r="N222" s="5" t="str">
        <f>IFERROR(IF(VLOOKUP(Tbl_Donnees[[#This Row],[Référence]]&amp;"",Tbl_Catalogue[],9,FALSE)=0,"-",VLOOKUP(Tbl_Donnees[[#This Row],[Référence]]&amp;"",Tbl_Catalogue[],9,FALSE)),"-")</f>
        <v>-</v>
      </c>
      <c r="O222" s="5" t="str">
        <f>IFERROR(IF(VLOOKUP(Tbl_Donnees[[#This Row],[Référence]]&amp;"",Tbl_Catalogue[],11,FALSE)=0,"-",VLOOKUP(Tbl_Donnees[[#This Row],[Référence]]&amp;"",Tbl_Catalogue[],11,FALSE)),"-")</f>
        <v>-</v>
      </c>
      <c r="P222" s="2" t="str">
        <f>IFERROR(IF(VLOOKUP(Tbl_Donnees[[#This Row],[Référence]]&amp;"",Tbl_Catalogue[],12,FALSE)=0,"-",VLOOKUP(Tbl_Donnees[[#This Row],[Référence]]&amp;"",Tbl_Catalogue[],12,FALSE)),"-")</f>
        <v>-</v>
      </c>
      <c r="Q222" s="13" t="str">
        <f>IFERROR(IF(VLOOKUP(Tbl_Donnees[[#This Row],[Référence]]&amp;"",Tbl_Catalogue[],13,FALSE)=0,"-",VLOOKUP(Tbl_Donnees[[#This Row],[Référence]]&amp;"",Tbl_Catalogue[],13,FALSE)),"-")</f>
        <v>-</v>
      </c>
      <c r="R222" s="5"/>
    </row>
    <row r="223" spans="1:18" x14ac:dyDescent="0.2">
      <c r="A223" s="2" t="s">
        <v>357</v>
      </c>
      <c r="B223" s="5" t="s">
        <v>359</v>
      </c>
      <c r="C223" s="5" t="s">
        <v>60</v>
      </c>
      <c r="D223" s="6" t="str">
        <f>IFERROR(IF(VLOOKUP(Tbl_Donnees[[#This Row],[Référence]]&amp;"",Tbl_Catalogue[],3,FALSE)=0,"-",VLOOKUP(Tbl_Donnees[[#This Row],[Référence]]&amp;"",Tbl_Catalogue[],3,FALSE)),"-")</f>
        <v>DISJONCTEUR TAILLE S00</v>
      </c>
      <c r="E223" s="6">
        <v>1</v>
      </c>
      <c r="F223" s="6" t="str">
        <f>IFERROR(IF(VLOOKUP(Tbl_Donnees[[#This Row],[Référence]]&amp;"",Tbl_Catalogue[],2,FALSE)=0,"-",VLOOKUP(Tbl_Donnees[[#This Row],[Référence]]&amp;"",Tbl_Catalogue[],2,FALSE)),"-")</f>
        <v>SIEMENS</v>
      </c>
      <c r="G223" s="20" t="s">
        <v>398</v>
      </c>
      <c r="H223" s="6" t="str">
        <f>IFERROR(IF(VLOOKUP(Tbl_Donnees[[#This Row],[Référence]]&amp;"",Tbl_Catalogue[],4,FALSE)=0,"-",VLOOKUP(Tbl_Donnees[[#This Row],[Référence]]&amp;"",Tbl_Catalogue[],4,FALSE)),"-")</f>
        <v>Produit actif </v>
      </c>
      <c r="I223" s="2" t="str">
        <f>IFERROR(IF(VLOOKUP(Tbl_Donnees[[#This Row],[Référence]]&amp;"",Tbl_Catalogue[],5,FALSE)=0,"-",VLOOKUP(Tbl_Donnees[[#This Row],[Référence]]&amp;"",Tbl_Catalogue[],5,FALSE)),"INCONNU")</f>
        <v>ACTIF</v>
      </c>
      <c r="J22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https://sieportal.siemens.com/fr-fr/products-services/detail/3RV1011-1KA10?tree=CatalogTree</v>
      </c>
      <c r="K223" s="2" t="str">
        <f>IFERROR(IF(VLOOKUP(Tbl_Donnees[[#This Row],[Référence]]&amp;"",Tbl_Catalogue[],7,FALSE)=0,"-",VLOOKUP(Tbl_Donnees[[#This Row],[Référence]]&amp;"",Tbl_Catalogue[],7,FALSE)),"-")</f>
        <v>-</v>
      </c>
      <c r="L223" s="5" t="str">
        <f>IFERROR(IF(VLOOKUP(Tbl_Donnees[[#This Row],[Référence]]&amp;"",Tbl_Catalogue[],10,FALSE)=0,"-",VLOOKUP(Tbl_Donnees[[#This Row],[Référence]]&amp;"",Tbl_Catalogue[],10,FALSE)),"-")</f>
        <v>-</v>
      </c>
      <c r="M223" s="2" t="str">
        <f>IFERROR(IF(VLOOKUP(Tbl_Donnees[[#This Row],[Référence]]&amp;"",Tbl_Catalogue[],8,FALSE)=0,"-",VLOOKUP(Tbl_Donnees[[#This Row],[Référence]]&amp;"",Tbl_Catalogue[],8,FALSE)),"-")</f>
        <v>-</v>
      </c>
      <c r="N223" s="5" t="str">
        <f>IFERROR(IF(VLOOKUP(Tbl_Donnees[[#This Row],[Référence]]&amp;"",Tbl_Catalogue[],9,FALSE)=0,"-",VLOOKUP(Tbl_Donnees[[#This Row],[Référence]]&amp;"",Tbl_Catalogue[],9,FALSE)),"-")</f>
        <v>-</v>
      </c>
      <c r="O223" s="5" t="str">
        <f>IFERROR(IF(VLOOKUP(Tbl_Donnees[[#This Row],[Référence]]&amp;"",Tbl_Catalogue[],11,FALSE)=0,"-",VLOOKUP(Tbl_Donnees[[#This Row],[Référence]]&amp;"",Tbl_Catalogue[],11,FALSE)),"-")</f>
        <v>-</v>
      </c>
      <c r="P223" s="2" t="str">
        <f>IFERROR(IF(VLOOKUP(Tbl_Donnees[[#This Row],[Référence]]&amp;"",Tbl_Catalogue[],12,FALSE)=0,"-",VLOOKUP(Tbl_Donnees[[#This Row],[Référence]]&amp;"",Tbl_Catalogue[],12,FALSE)),"-")</f>
        <v>-</v>
      </c>
      <c r="Q223" s="13" t="str">
        <f>IFERROR(IF(VLOOKUP(Tbl_Donnees[[#This Row],[Référence]]&amp;"",Tbl_Catalogue[],13,FALSE)=0,"-",VLOOKUP(Tbl_Donnees[[#This Row],[Référence]]&amp;"",Tbl_Catalogue[],13,FALSE)),"-")</f>
        <v>-</v>
      </c>
      <c r="R223" s="2"/>
    </row>
    <row r="224" spans="1:18" x14ac:dyDescent="0.2">
      <c r="A224" s="2" t="s">
        <v>357</v>
      </c>
      <c r="B224" s="5" t="s">
        <v>359</v>
      </c>
      <c r="C224" s="5" t="s">
        <v>60</v>
      </c>
      <c r="D224" s="6" t="str">
        <f>IFERROR(IF(VLOOKUP(Tbl_Donnees[[#This Row],[Référence]]&amp;"",Tbl_Catalogue[],3,FALSE)=0,"-",VLOOKUP(Tbl_Donnees[[#This Row],[Référence]]&amp;"",Tbl_Catalogue[],3,FALSE)),"-")</f>
        <v xml:space="preserve">DISJONCTEUR TAILLE S00 </v>
      </c>
      <c r="E224" s="6">
        <v>2</v>
      </c>
      <c r="F224" s="6" t="str">
        <f>IFERROR(IF(VLOOKUP(Tbl_Donnees[[#This Row],[Référence]]&amp;"",Tbl_Catalogue[],2,FALSE)=0,"-",VLOOKUP(Tbl_Donnees[[#This Row],[Référence]]&amp;"",Tbl_Catalogue[],2,FALSE)),"-")</f>
        <v>SIEMENS</v>
      </c>
      <c r="G224" s="20" t="s">
        <v>399</v>
      </c>
      <c r="H224" s="6" t="str">
        <f>IFERROR(IF(VLOOKUP(Tbl_Donnees[[#This Row],[Référence]]&amp;"",Tbl_Catalogue[],4,FALSE)=0,"-",VLOOKUP(Tbl_Donnees[[#This Row],[Référence]]&amp;"",Tbl_Catalogue[],4,FALSE)),"-")</f>
        <v>Produit actif </v>
      </c>
      <c r="I224" s="2" t="str">
        <f>IFERROR(IF(VLOOKUP(Tbl_Donnees[[#This Row],[Référence]]&amp;"",Tbl_Catalogue[],5,FALSE)=0,"-",VLOOKUP(Tbl_Donnees[[#This Row],[Référence]]&amp;"",Tbl_Catalogue[],5,FALSE)),"INCONNU")</f>
        <v>ACTIF</v>
      </c>
      <c r="J224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https://sieportal.siemens.com/fr-fr/products-services/detail/3RV1011-1CA10?tree=CatalogTree</v>
      </c>
      <c r="K224" s="2" t="str">
        <f>IFERROR(IF(VLOOKUP(Tbl_Donnees[[#This Row],[Référence]]&amp;"",Tbl_Catalogue[],7,FALSE)=0,"-",VLOOKUP(Tbl_Donnees[[#This Row],[Référence]]&amp;"",Tbl_Catalogue[],7,FALSE)),"-")</f>
        <v>-</v>
      </c>
      <c r="L224" s="5" t="str">
        <f>IFERROR(IF(VLOOKUP(Tbl_Donnees[[#This Row],[Référence]]&amp;"",Tbl_Catalogue[],10,FALSE)=0,"-",VLOOKUP(Tbl_Donnees[[#This Row],[Référence]]&amp;"",Tbl_Catalogue[],10,FALSE)),"-")</f>
        <v>-</v>
      </c>
      <c r="M224" s="2" t="str">
        <f>IFERROR(IF(VLOOKUP(Tbl_Donnees[[#This Row],[Référence]]&amp;"",Tbl_Catalogue[],8,FALSE)=0,"-",VLOOKUP(Tbl_Donnees[[#This Row],[Référence]]&amp;"",Tbl_Catalogue[],8,FALSE)),"-")</f>
        <v>-</v>
      </c>
      <c r="N224" s="5" t="str">
        <f>IFERROR(IF(VLOOKUP(Tbl_Donnees[[#This Row],[Référence]]&amp;"",Tbl_Catalogue[],9,FALSE)=0,"-",VLOOKUP(Tbl_Donnees[[#This Row],[Référence]]&amp;"",Tbl_Catalogue[],9,FALSE)),"-")</f>
        <v>-</v>
      </c>
      <c r="O224" s="5" t="str">
        <f>IFERROR(IF(VLOOKUP(Tbl_Donnees[[#This Row],[Référence]]&amp;"",Tbl_Catalogue[],11,FALSE)=0,"-",VLOOKUP(Tbl_Donnees[[#This Row],[Référence]]&amp;"",Tbl_Catalogue[],11,FALSE)),"-")</f>
        <v>-</v>
      </c>
      <c r="P224" s="2" t="str">
        <f>IFERROR(IF(VLOOKUP(Tbl_Donnees[[#This Row],[Référence]]&amp;"",Tbl_Catalogue[],12,FALSE)=0,"-",VLOOKUP(Tbl_Donnees[[#This Row],[Référence]]&amp;"",Tbl_Catalogue[],12,FALSE)),"-")</f>
        <v>-</v>
      </c>
      <c r="Q224" s="13" t="str">
        <f>IFERROR(IF(VLOOKUP(Tbl_Donnees[[#This Row],[Référence]]&amp;"",Tbl_Catalogue[],13,FALSE)=0,"-",VLOOKUP(Tbl_Donnees[[#This Row],[Référence]]&amp;"",Tbl_Catalogue[],13,FALSE)),"-")</f>
        <v>-</v>
      </c>
      <c r="R224" s="5"/>
    </row>
    <row r="225" spans="1:18" x14ac:dyDescent="0.2">
      <c r="A225" s="2" t="s">
        <v>357</v>
      </c>
      <c r="B225" s="5" t="s">
        <v>359</v>
      </c>
      <c r="C225" s="5" t="s">
        <v>60</v>
      </c>
      <c r="D225" s="6" t="str">
        <f>IFERROR(IF(VLOOKUP(Tbl_Donnees[[#This Row],[Référence]]&amp;"",Tbl_Catalogue[],3,FALSE)=0,"-",VLOOKUP(Tbl_Donnees[[#This Row],[Référence]]&amp;"",Tbl_Catalogue[],3,FALSE)),"-")</f>
        <v>CONNECTEUR DE SIGNAUX</v>
      </c>
      <c r="E225" s="6">
        <v>1</v>
      </c>
      <c r="F225" s="6" t="str">
        <f>IFERROR(IF(VLOOKUP(Tbl_Donnees[[#This Row],[Référence]]&amp;"",Tbl_Catalogue[],2,FALSE)=0,"-",VLOOKUP(Tbl_Donnees[[#This Row],[Référence]]&amp;"",Tbl_Catalogue[],2,FALSE)),"-")</f>
        <v>SIEMENS</v>
      </c>
      <c r="G225" s="20" t="s">
        <v>406</v>
      </c>
      <c r="H225" s="6" t="str">
        <f>IFERROR(IF(VLOOKUP(Tbl_Donnees[[#This Row],[Référence]]&amp;"",Tbl_Catalogue[],4,FALSE)=0,"-",VLOOKUP(Tbl_Donnees[[#This Row],[Référence]]&amp;"",Tbl_Catalogue[],4,FALSE)),"-")</f>
        <v>Produit Actif</v>
      </c>
      <c r="I225" s="2" t="str">
        <f>IFERROR(IF(VLOOKUP(Tbl_Donnees[[#This Row],[Référence]]&amp;"",Tbl_Catalogue[],5,FALSE)=0,"-",VLOOKUP(Tbl_Donnees[[#This Row],[Référence]]&amp;"",Tbl_Catalogue[],5,FALSE)),"INCONNU")</f>
        <v>ACTIF</v>
      </c>
      <c r="J225" s="3" t="str">
        <f>IFERROR(IF(VLOOKUP(Tbl_Donnees[[#This Row],[Référence]]&amp;"",Tbl_Catalogue[],6,FALSE)=0,"-",VLOOKUP(Tbl_Donnees[[#This Row],[Référence]]&amp;"",Tbl_Catalogue[],6,FALSE)),"-")</f>
        <v>https://sieportal.siemens.com/fr-ch/products-services/detail/6FC9348-7HU?tree=CatalogTree</v>
      </c>
      <c r="K225" s="2" t="str">
        <f>IFERROR(IF(VLOOKUP(Tbl_Donnees[[#This Row],[Référence]]&amp;"",Tbl_Catalogue[],7,FALSE)=0,"-",VLOOKUP(Tbl_Donnees[[#This Row],[Référence]]&amp;"",Tbl_Catalogue[],7,FALSE)),"-")</f>
        <v>-</v>
      </c>
      <c r="L225" s="5" t="str">
        <f>IFERROR(IF(VLOOKUP(Tbl_Donnees[[#This Row],[Référence]]&amp;"",Tbl_Catalogue[],10,FALSE)=0,"-",VLOOKUP(Tbl_Donnees[[#This Row],[Référence]]&amp;"",Tbl_Catalogue[],10,FALSE)),"-")</f>
        <v>-</v>
      </c>
      <c r="M225" s="2" t="str">
        <f>IFERROR(IF(VLOOKUP(Tbl_Donnees[[#This Row],[Référence]]&amp;"",Tbl_Catalogue[],8,FALSE)=0,"-",VLOOKUP(Tbl_Donnees[[#This Row],[Référence]]&amp;"",Tbl_Catalogue[],8,FALSE)),"-")</f>
        <v>-</v>
      </c>
      <c r="N225" s="5" t="str">
        <f>IFERROR(IF(VLOOKUP(Tbl_Donnees[[#This Row],[Référence]]&amp;"",Tbl_Catalogue[],9,FALSE)=0,"-",VLOOKUP(Tbl_Donnees[[#This Row],[Référence]]&amp;"",Tbl_Catalogue[],9,FALSE)),"-")</f>
        <v>-</v>
      </c>
      <c r="O225" s="5" t="str">
        <f>IFERROR(IF(VLOOKUP(Tbl_Donnees[[#This Row],[Référence]]&amp;"",Tbl_Catalogue[],11,FALSE)=0,"-",VLOOKUP(Tbl_Donnees[[#This Row],[Référence]]&amp;"",Tbl_Catalogue[],11,FALSE)),"-")</f>
        <v>-</v>
      </c>
      <c r="P225" s="2" t="str">
        <f>IFERROR(IF(VLOOKUP(Tbl_Donnees[[#This Row],[Référence]]&amp;"",Tbl_Catalogue[],12,FALSE)=0,"-",VLOOKUP(Tbl_Donnees[[#This Row],[Référence]]&amp;"",Tbl_Catalogue[],12,FALSE)),"-")</f>
        <v>-</v>
      </c>
      <c r="Q225" s="13" t="str">
        <f>IFERROR(IF(VLOOKUP(Tbl_Donnees[[#This Row],[Référence]]&amp;"",Tbl_Catalogue[],13,FALSE)=0,"-",VLOOKUP(Tbl_Donnees[[#This Row],[Référence]]&amp;"",Tbl_Catalogue[],13,FALSE)),"-")</f>
        <v>-</v>
      </c>
      <c r="R225" s="5"/>
    </row>
    <row r="226" spans="1:18" x14ac:dyDescent="0.2">
      <c r="A226" s="2" t="s">
        <v>357</v>
      </c>
      <c r="B226" s="5" t="s">
        <v>359</v>
      </c>
      <c r="C226" s="5" t="s">
        <v>60</v>
      </c>
      <c r="D226" s="6" t="str">
        <f>IFERROR(IF(VLOOKUP(Tbl_Donnees[[#This Row],[Référence]]&amp;"",Tbl_Catalogue[],3,FALSE)=0,"-",VLOOKUP(Tbl_Donnees[[#This Row],[Référence]]&amp;"",Tbl_Catalogue[],3,FALSE)),"-")</f>
        <v>CONNECTEUR SIMODRIVE 15P</v>
      </c>
      <c r="E226" s="6">
        <v>1</v>
      </c>
      <c r="F226" s="6" t="str">
        <f>IFERROR(IF(VLOOKUP(Tbl_Donnees[[#This Row],[Référence]]&amp;"",Tbl_Catalogue[],2,FALSE)=0,"-",VLOOKUP(Tbl_Donnees[[#This Row],[Référence]]&amp;"",Tbl_Catalogue[],2,FALSE)),"-")</f>
        <v>SIEMENS</v>
      </c>
      <c r="G226" s="20" t="s">
        <v>410</v>
      </c>
      <c r="H226" s="6" t="str">
        <f>IFERROR(IF(VLOOKUP(Tbl_Donnees[[#This Row],[Référence]]&amp;"",Tbl_Catalogue[],4,FALSE)=0,"-",VLOOKUP(Tbl_Donnees[[#This Row],[Référence]]&amp;"",Tbl_Catalogue[],4,FALSE)),"-")</f>
        <v>Produit Actif</v>
      </c>
      <c r="I226" s="2" t="str">
        <f>IFERROR(IF(VLOOKUP(Tbl_Donnees[[#This Row],[Référence]]&amp;"",Tbl_Catalogue[],5,FALSE)=0,"-",VLOOKUP(Tbl_Donnees[[#This Row],[Référence]]&amp;"",Tbl_Catalogue[],5,FALSE)),"INCONNU")</f>
        <v>ACTIF</v>
      </c>
      <c r="J226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https://sieportal.siemens.com/fr-fr/products-services/detail/6FC9348-7AT?tree=CatalogTree</v>
      </c>
      <c r="K226" s="2" t="str">
        <f>IFERROR(IF(VLOOKUP(Tbl_Donnees[[#This Row],[Référence]]&amp;"",Tbl_Catalogue[],7,FALSE)=0,"-",VLOOKUP(Tbl_Donnees[[#This Row],[Référence]]&amp;"",Tbl_Catalogue[],7,FALSE)),"-")</f>
        <v>-</v>
      </c>
      <c r="L226" s="5" t="str">
        <f>IFERROR(IF(VLOOKUP(Tbl_Donnees[[#This Row],[Référence]]&amp;"",Tbl_Catalogue[],10,FALSE)=0,"-",VLOOKUP(Tbl_Donnees[[#This Row],[Référence]]&amp;"",Tbl_Catalogue[],10,FALSE)),"-")</f>
        <v>-</v>
      </c>
      <c r="M226" s="2" t="str">
        <f>IFERROR(IF(VLOOKUP(Tbl_Donnees[[#This Row],[Référence]]&amp;"",Tbl_Catalogue[],8,FALSE)=0,"-",VLOOKUP(Tbl_Donnees[[#This Row],[Référence]]&amp;"",Tbl_Catalogue[],8,FALSE)),"-")</f>
        <v>-</v>
      </c>
      <c r="N226" s="5" t="str">
        <f>IFERROR(IF(VLOOKUP(Tbl_Donnees[[#This Row],[Référence]]&amp;"",Tbl_Catalogue[],9,FALSE)=0,"-",VLOOKUP(Tbl_Donnees[[#This Row],[Référence]]&amp;"",Tbl_Catalogue[],9,FALSE)),"-")</f>
        <v>-</v>
      </c>
      <c r="O226" s="5" t="str">
        <f>IFERROR(IF(VLOOKUP(Tbl_Donnees[[#This Row],[Référence]]&amp;"",Tbl_Catalogue[],11,FALSE)=0,"-",VLOOKUP(Tbl_Donnees[[#This Row],[Référence]]&amp;"",Tbl_Catalogue[],11,FALSE)),"-")</f>
        <v>-</v>
      </c>
      <c r="P226" s="2" t="str">
        <f>IFERROR(IF(VLOOKUP(Tbl_Donnees[[#This Row],[Référence]]&amp;"",Tbl_Catalogue[],12,FALSE)=0,"-",VLOOKUP(Tbl_Donnees[[#This Row],[Référence]]&amp;"",Tbl_Catalogue[],12,FALSE)),"-")</f>
        <v>-</v>
      </c>
      <c r="Q226" s="13" t="str">
        <f>IFERROR(IF(VLOOKUP(Tbl_Donnees[[#This Row],[Référence]]&amp;"",Tbl_Catalogue[],13,FALSE)=0,"-",VLOOKUP(Tbl_Donnees[[#This Row],[Référence]]&amp;"",Tbl_Catalogue[],13,FALSE)),"-")</f>
        <v>-</v>
      </c>
      <c r="R226" s="2"/>
    </row>
    <row r="227" spans="1:18" x14ac:dyDescent="0.2">
      <c r="A227" s="2" t="s">
        <v>357</v>
      </c>
      <c r="B227" s="5" t="s">
        <v>359</v>
      </c>
      <c r="C227" s="5" t="s">
        <v>60</v>
      </c>
      <c r="D227" s="6" t="str">
        <f>IFERROR(IF(VLOOKUP(Tbl_Donnees[[#This Row],[Référence]]&amp;"",Tbl_Catalogue[],3,FALSE)=0,"-",VLOOKUP(Tbl_Donnees[[#This Row],[Référence]]&amp;"",Tbl_Catalogue[],3,FALSE)),"-")</f>
        <v>BOBINE ELECTROVANNE</v>
      </c>
      <c r="E227" s="6">
        <v>1</v>
      </c>
      <c r="F227" s="6" t="str">
        <f>IFERROR(IF(VLOOKUP(Tbl_Donnees[[#This Row],[Référence]]&amp;"",Tbl_Catalogue[],2,FALSE)=0,"-",VLOOKUP(Tbl_Donnees[[#This Row],[Référence]]&amp;"",Tbl_Catalogue[],2,FALSE)),"-")</f>
        <v>SCHRADER BELLOWS</v>
      </c>
      <c r="G227" s="20" t="s">
        <v>468</v>
      </c>
      <c r="H227" s="6" t="str">
        <f>IFERROR(IF(VLOOKUP(Tbl_Donnees[[#This Row],[Référence]]&amp;"",Tbl_Catalogue[],4,FALSE)=0,"-",VLOOKUP(Tbl_Donnees[[#This Row],[Référence]]&amp;"",Tbl_Catalogue[],4,FALSE)),"-")</f>
        <v>Obsolète</v>
      </c>
      <c r="I227" s="2" t="str">
        <f>IFERROR(IF(VLOOKUP(Tbl_Donnees[[#This Row],[Référence]]&amp;"",Tbl_Catalogue[],5,FALSE)=0,"-",VLOOKUP(Tbl_Donnees[[#This Row],[Référence]]&amp;"",Tbl_Catalogue[],5,FALSE)),"INCONNU")</f>
        <v>OBSOLETE</v>
      </c>
      <c r="J227" s="3" t="str">
        <f>IFERROR(IF(VLOOKUP(Tbl_Donnees[[#This Row],[Référence]]&amp;"",Tbl_Catalogue[],6,FALSE)=0,"-",VLOOKUP(Tbl_Donnees[[#This Row],[Référence]]&amp;"",Tbl_Catalogue[],6,FALSE)),"-")</f>
        <v>-</v>
      </c>
      <c r="K227" s="2" t="str">
        <f>IFERROR(IF(VLOOKUP(Tbl_Donnees[[#This Row],[Référence]]&amp;"",Tbl_Catalogue[],7,FALSE)=0,"-",VLOOKUP(Tbl_Donnees[[#This Row],[Référence]]&amp;"",Tbl_Catalogue[],7,FALSE)),"-")</f>
        <v>INCONNU</v>
      </c>
      <c r="L227" s="5" t="str">
        <f>IFERROR(IF(VLOOKUP(Tbl_Donnees[[#This Row],[Référence]]&amp;"",Tbl_Catalogue[],10,FALSE)=0,"-",VLOOKUP(Tbl_Donnees[[#This Row],[Référence]]&amp;"",Tbl_Catalogue[],10,FALSE)),"-")</f>
        <v>-</v>
      </c>
      <c r="M227" s="2" t="str">
        <f>IFERROR(IF(VLOOKUP(Tbl_Donnees[[#This Row],[Référence]]&amp;"",Tbl_Catalogue[],8,FALSE)=0,"-",VLOOKUP(Tbl_Donnees[[#This Row],[Référence]]&amp;"",Tbl_Catalogue[],8,FALSE)),"-")</f>
        <v>-</v>
      </c>
      <c r="N227" s="5" t="str">
        <f>IFERROR(IF(VLOOKUP(Tbl_Donnees[[#This Row],[Référence]]&amp;"",Tbl_Catalogue[],9,FALSE)=0,"-",VLOOKUP(Tbl_Donnees[[#This Row],[Référence]]&amp;"",Tbl_Catalogue[],9,FALSE)),"-")</f>
        <v>-</v>
      </c>
      <c r="O227" s="5" t="str">
        <f>IFERROR(IF(VLOOKUP(Tbl_Donnees[[#This Row],[Référence]]&amp;"",Tbl_Catalogue[],11,FALSE)=0,"-",VLOOKUP(Tbl_Donnees[[#This Row],[Référence]]&amp;"",Tbl_Catalogue[],11,FALSE)),"-")</f>
        <v>-</v>
      </c>
      <c r="P227" s="2" t="str">
        <f>IFERROR(IF(VLOOKUP(Tbl_Donnees[[#This Row],[Référence]]&amp;"",Tbl_Catalogue[],12,FALSE)=0,"-",VLOOKUP(Tbl_Donnees[[#This Row],[Référence]]&amp;"",Tbl_Catalogue[],12,FALSE)),"-")</f>
        <v>-</v>
      </c>
      <c r="Q227" s="13" t="str">
        <f>IFERROR(IF(VLOOKUP(Tbl_Donnees[[#This Row],[Référence]]&amp;"",Tbl_Catalogue[],13,FALSE)=0,"-",VLOOKUP(Tbl_Donnees[[#This Row],[Référence]]&amp;"",Tbl_Catalogue[],13,FALSE)),"-")</f>
        <v>-</v>
      </c>
      <c r="R227" s="5"/>
    </row>
    <row r="228" spans="1:18" x14ac:dyDescent="0.2">
      <c r="A228" s="2" t="s">
        <v>357</v>
      </c>
      <c r="B228" s="5" t="s">
        <v>359</v>
      </c>
      <c r="C228" s="5" t="s">
        <v>60</v>
      </c>
      <c r="D228" s="6" t="str">
        <f>IFERROR(IF(VLOOKUP(Tbl_Donnees[[#This Row],[Référence]]&amp;"",Tbl_Catalogue[],3,FALSE)=0,"-",VLOOKUP(Tbl_Donnees[[#This Row],[Référence]]&amp;"",Tbl_Catalogue[],3,FALSE)),"-")</f>
        <v>MOT. ASYNCHRONE TRIPHASE</v>
      </c>
      <c r="E228" s="6">
        <v>1</v>
      </c>
      <c r="F228" s="6" t="str">
        <f>IFERROR(IF(VLOOKUP(Tbl_Donnees[[#This Row],[Référence]]&amp;"",Tbl_Catalogue[],2,FALSE)=0,"-",VLOOKUP(Tbl_Donnees[[#This Row],[Référence]]&amp;"",Tbl_Catalogue[],2,FALSE)),"-")</f>
        <v>SACEMI-GAMAR</v>
      </c>
      <c r="G228" s="20" t="s">
        <v>471</v>
      </c>
      <c r="H228" s="6" t="str">
        <f>IFERROR(IF(VLOOKUP(Tbl_Donnees[[#This Row],[Référence]]&amp;"",Tbl_Catalogue[],4,FALSE)=0,"-",VLOOKUP(Tbl_Donnees[[#This Row],[Référence]]&amp;"",Tbl_Catalogue[],4,FALSE)),"-")</f>
        <v>Produit Exclusive</v>
      </c>
      <c r="I228" s="2" t="str">
        <f>IFERROR(IF(VLOOKUP(Tbl_Donnees[[#This Row],[Référence]]&amp;"",Tbl_Catalogue[],5,FALSE)=0,"-",VLOOKUP(Tbl_Donnees[[#This Row],[Référence]]&amp;"",Tbl_Catalogue[],5,FALSE)),"INCONNU")</f>
        <v>INCONNU</v>
      </c>
      <c r="J228" s="3" t="str">
        <f>IFERROR(IF(VLOOKUP(Tbl_Donnees[[#This Row],[Référence]]&amp;"",Tbl_Catalogue[],6,FALSE)=0,"-",VLOOKUP(Tbl_Donnees[[#This Row],[Référence]]&amp;"",Tbl_Catalogue[],6,FALSE)),"-")</f>
        <v>-</v>
      </c>
      <c r="K228" s="2" t="str">
        <f>IFERROR(IF(VLOOKUP(Tbl_Donnees[[#This Row],[Référence]]&amp;"",Tbl_Catalogue[],7,FALSE)=0,"-",VLOOKUP(Tbl_Donnees[[#This Row],[Référence]]&amp;"",Tbl_Catalogue[],7,FALSE)),"-")</f>
        <v>INCONNU</v>
      </c>
      <c r="L228" s="5" t="str">
        <f>IFERROR(IF(VLOOKUP(Tbl_Donnees[[#This Row],[Référence]]&amp;"",Tbl_Catalogue[],10,FALSE)=0,"-",VLOOKUP(Tbl_Donnees[[#This Row],[Référence]]&amp;"",Tbl_Catalogue[],10,FALSE)),"-")</f>
        <v>-</v>
      </c>
      <c r="M228" s="2" t="str">
        <f>IFERROR(IF(VLOOKUP(Tbl_Donnees[[#This Row],[Référence]]&amp;"",Tbl_Catalogue[],8,FALSE)=0,"-",VLOOKUP(Tbl_Donnees[[#This Row],[Référence]]&amp;"",Tbl_Catalogue[],8,FALSE)),"-")</f>
        <v>-</v>
      </c>
      <c r="N228" s="5" t="str">
        <f>IFERROR(IF(VLOOKUP(Tbl_Donnees[[#This Row],[Référence]]&amp;"",Tbl_Catalogue[],9,FALSE)=0,"-",VLOOKUP(Tbl_Donnees[[#This Row],[Référence]]&amp;"",Tbl_Catalogue[],9,FALSE)),"-")</f>
        <v>-</v>
      </c>
      <c r="O228" s="5" t="str">
        <f>IFERROR(IF(VLOOKUP(Tbl_Donnees[[#This Row],[Référence]]&amp;"",Tbl_Catalogue[],11,FALSE)=0,"-",VLOOKUP(Tbl_Donnees[[#This Row],[Référence]]&amp;"",Tbl_Catalogue[],11,FALSE)),"-")</f>
        <v>-</v>
      </c>
      <c r="P228" s="2" t="str">
        <f>IFERROR(IF(VLOOKUP(Tbl_Donnees[[#This Row],[Référence]]&amp;"",Tbl_Catalogue[],12,FALSE)=0,"-",VLOOKUP(Tbl_Donnees[[#This Row],[Référence]]&amp;"",Tbl_Catalogue[],12,FALSE)),"-")</f>
        <v>-</v>
      </c>
      <c r="Q228" s="13" t="str">
        <f>IFERROR(IF(VLOOKUP(Tbl_Donnees[[#This Row],[Référence]]&amp;"",Tbl_Catalogue[],13,FALSE)=0,"-",VLOOKUP(Tbl_Donnees[[#This Row],[Référence]]&amp;"",Tbl_Catalogue[],13,FALSE)),"-")</f>
        <v>-</v>
      </c>
      <c r="R228" s="2"/>
    </row>
    <row r="229" spans="1:18" x14ac:dyDescent="0.2">
      <c r="A229" s="2" t="s">
        <v>357</v>
      </c>
      <c r="B229" s="5" t="s">
        <v>359</v>
      </c>
      <c r="C229" s="5" t="s">
        <v>60</v>
      </c>
      <c r="D229" s="6" t="str">
        <f>IFERROR(IF(VLOOKUP(Tbl_Donnees[[#This Row],[Référence]]&amp;"",Tbl_Catalogue[],3,FALSE)=0,"-",VLOOKUP(Tbl_Donnees[[#This Row],[Référence]]&amp;"",Tbl_Catalogue[],3,FALSE)),"-")</f>
        <v>VENTILATEUR A FILTRE</v>
      </c>
      <c r="E229" s="6">
        <v>1</v>
      </c>
      <c r="F229" s="6" t="str">
        <f>IFERROR(IF(VLOOKUP(Tbl_Donnees[[#This Row],[Référence]]&amp;"",Tbl_Catalogue[],2,FALSE)=0,"-",VLOOKUP(Tbl_Donnees[[#This Row],[Référence]]&amp;"",Tbl_Catalogue[],2,FALSE)),"-")</f>
        <v>RITTAL</v>
      </c>
      <c r="G229" s="20" t="s">
        <v>453</v>
      </c>
      <c r="H229" s="6" t="str">
        <f>IFERROR(IF(VLOOKUP(Tbl_Donnees[[#This Row],[Référence]]&amp;"",Tbl_Catalogue[],4,FALSE)=0,"-",VLOOKUP(Tbl_Donnees[[#This Row],[Référence]]&amp;"",Tbl_Catalogue[],4,FALSE)),"-")</f>
        <v>Obsolète</v>
      </c>
      <c r="I229" s="2" t="str">
        <f>IFERROR(IF(VLOOKUP(Tbl_Donnees[[#This Row],[Référence]]&amp;"",Tbl_Catalogue[],5,FALSE)=0,"-",VLOOKUP(Tbl_Donnees[[#This Row],[Référence]]&amp;"",Tbl_Catalogue[],5,FALSE)),"INCONNU")</f>
        <v>OBSOLETE</v>
      </c>
      <c r="J229" s="3" t="str">
        <f>IFERROR(IF(VLOOKUP(Tbl_Donnees[[#This Row],[Référence]]&amp;"",Tbl_Catalogue[],6,FALSE)=0,"-",VLOOKUP(Tbl_Donnees[[#This Row],[Référence]]&amp;"",Tbl_Catalogue[],6,FALSE)),"-")</f>
        <v>-</v>
      </c>
      <c r="K229" s="2" t="str">
        <f>IFERROR(IF(VLOOKUP(Tbl_Donnees[[#This Row],[Référence]]&amp;"",Tbl_Catalogue[],7,FALSE)=0,"-",VLOOKUP(Tbl_Donnees[[#This Row],[Référence]]&amp;"",Tbl_Catalogue[],7,FALSE)),"-")</f>
        <v>OUI</v>
      </c>
      <c r="L229" s="5" t="str">
        <f>IFERROR(IF(VLOOKUP(Tbl_Donnees[[#This Row],[Référence]]&amp;"",Tbl_Catalogue[],10,FALSE)=0,"-",VLOOKUP(Tbl_Donnees[[#This Row],[Référence]]&amp;"",Tbl_Catalogue[],10,FALSE)),"-")</f>
        <v>-</v>
      </c>
      <c r="M229" s="2" t="str">
        <f>IFERROR(IF(VLOOKUP(Tbl_Donnees[[#This Row],[Référence]]&amp;"",Tbl_Catalogue[],8,FALSE)=0,"-",VLOOKUP(Tbl_Donnees[[#This Row],[Référence]]&amp;"",Tbl_Catalogue[],8,FALSE)),"-")</f>
        <v>SK 3239.100</v>
      </c>
      <c r="N229" s="5" t="str">
        <f>IFERROR(IF(VLOOKUP(Tbl_Donnees[[#This Row],[Référence]]&amp;"",Tbl_Catalogue[],9,FALSE)=0,"-",VLOOKUP(Tbl_Donnees[[#This Row],[Référence]]&amp;"",Tbl_Catalogue[],9,FALSE)),"-")</f>
        <v>RITTAL</v>
      </c>
      <c r="O229" s="5" t="str">
        <f>IFERROR(IF(VLOOKUP(Tbl_Donnees[[#This Row],[Référence]]&amp;"",Tbl_Catalogue[],11,FALSE)=0,"-",VLOOKUP(Tbl_Donnees[[#This Row],[Référence]]&amp;"",Tbl_Catalogue[],11,FALSE)),"-")</f>
        <v>Obsolète</v>
      </c>
      <c r="P229" s="2" t="str">
        <f>IFERROR(IF(VLOOKUP(Tbl_Donnees[[#This Row],[Référence]]&amp;"",Tbl_Catalogue[],12,FALSE)=0,"-",VLOOKUP(Tbl_Donnees[[#This Row],[Référence]]&amp;"",Tbl_Catalogue[],12,FALSE)),"-")</f>
        <v>OBSOLETE</v>
      </c>
      <c r="Q229" s="13" t="str">
        <f>IFERROR(IF(VLOOKUP(Tbl_Donnees[[#This Row],[Référence]]&amp;"",Tbl_Catalogue[],13,FALSE)=0,"-",VLOOKUP(Tbl_Donnees[[#This Row],[Référence]]&amp;"",Tbl_Catalogue[],13,FALSE)),"-")</f>
        <v>-</v>
      </c>
      <c r="R229" s="5"/>
    </row>
    <row r="230" spans="1:18" x14ac:dyDescent="0.2">
      <c r="A230" s="2" t="s">
        <v>357</v>
      </c>
      <c r="B230" s="5" t="s">
        <v>359</v>
      </c>
      <c r="C230" s="5" t="s">
        <v>60</v>
      </c>
      <c r="D230" s="6" t="str">
        <f>IFERROR(IF(VLOOKUP(Tbl_Donnees[[#This Row],[Référence]]&amp;"",Tbl_Catalogue[],3,FALSE)=0,"-",VLOOKUP(Tbl_Donnees[[#This Row],[Référence]]&amp;"",Tbl_Catalogue[],3,FALSE)),"-")</f>
        <v xml:space="preserve">MOD. COMMANDE EMBRAYAGE </v>
      </c>
      <c r="E230" s="6">
        <v>2</v>
      </c>
      <c r="F230" s="6" t="str">
        <f>IFERROR(IF(VLOOKUP(Tbl_Donnees[[#This Row],[Référence]]&amp;"",Tbl_Catalogue[],2,FALSE)=0,"-",VLOOKUP(Tbl_Donnees[[#This Row],[Référence]]&amp;"",Tbl_Catalogue[],2,FALSE)),"-")</f>
        <v>ORTLINGHAUS</v>
      </c>
      <c r="G230" s="20" t="s">
        <v>469</v>
      </c>
      <c r="H230" s="6" t="str">
        <f>IFERROR(IF(VLOOKUP(Tbl_Donnees[[#This Row],[Référence]]&amp;"",Tbl_Catalogue[],4,FALSE)=0,"-",VLOOKUP(Tbl_Donnees[[#This Row],[Référence]]&amp;"",Tbl_Catalogue[],4,FALSE)),"-")</f>
        <v>Obsolète</v>
      </c>
      <c r="I230" s="2" t="str">
        <f>IFERROR(IF(VLOOKUP(Tbl_Donnees[[#This Row],[Référence]]&amp;"",Tbl_Catalogue[],5,FALSE)=0,"-",VLOOKUP(Tbl_Donnees[[#This Row],[Référence]]&amp;"",Tbl_Catalogue[],5,FALSE)),"INCONNU")</f>
        <v>OBSOLETE</v>
      </c>
      <c r="J230" s="3" t="str">
        <f>IFERROR(IF(VLOOKUP(Tbl_Donnees[[#This Row],[Référence]]&amp;"",Tbl_Catalogue[],6,FALSE)=0,"-",VLOOKUP(Tbl_Donnees[[#This Row],[Référence]]&amp;"",Tbl_Catalogue[],6,FALSE)),"-")</f>
        <v>-</v>
      </c>
      <c r="K230" s="2" t="str">
        <f>IFERROR(IF(VLOOKUP(Tbl_Donnees[[#This Row],[Référence]]&amp;"",Tbl_Catalogue[],7,FALSE)=0,"-",VLOOKUP(Tbl_Donnees[[#This Row],[Référence]]&amp;"",Tbl_Catalogue[],7,FALSE)),"-")</f>
        <v>INCONNU</v>
      </c>
      <c r="L230" s="5" t="str">
        <f>IFERROR(IF(VLOOKUP(Tbl_Donnees[[#This Row],[Référence]]&amp;"",Tbl_Catalogue[],10,FALSE)=0,"-",VLOOKUP(Tbl_Donnees[[#This Row],[Référence]]&amp;"",Tbl_Catalogue[],10,FALSE)),"-")</f>
        <v>-</v>
      </c>
      <c r="M230" s="2" t="str">
        <f>IFERROR(IF(VLOOKUP(Tbl_Donnees[[#This Row],[Référence]]&amp;"",Tbl_Catalogue[],8,FALSE)=0,"-",VLOOKUP(Tbl_Donnees[[#This Row],[Référence]]&amp;"",Tbl_Catalogue[],8,FALSE)),"-")</f>
        <v>-</v>
      </c>
      <c r="N230" s="5" t="str">
        <f>IFERROR(IF(VLOOKUP(Tbl_Donnees[[#This Row],[Référence]]&amp;"",Tbl_Catalogue[],9,FALSE)=0,"-",VLOOKUP(Tbl_Donnees[[#This Row],[Référence]]&amp;"",Tbl_Catalogue[],9,FALSE)),"-")</f>
        <v>-</v>
      </c>
      <c r="O230" s="5" t="str">
        <f>IFERROR(IF(VLOOKUP(Tbl_Donnees[[#This Row],[Référence]]&amp;"",Tbl_Catalogue[],11,FALSE)=0,"-",VLOOKUP(Tbl_Donnees[[#This Row],[Référence]]&amp;"",Tbl_Catalogue[],11,FALSE)),"-")</f>
        <v>-</v>
      </c>
      <c r="P230" s="2" t="str">
        <f>IFERROR(IF(VLOOKUP(Tbl_Donnees[[#This Row],[Référence]]&amp;"",Tbl_Catalogue[],12,FALSE)=0,"-",VLOOKUP(Tbl_Donnees[[#This Row],[Référence]]&amp;"",Tbl_Catalogue[],12,FALSE)),"-")</f>
        <v>-</v>
      </c>
      <c r="Q230" s="13" t="str">
        <f>IFERROR(IF(VLOOKUP(Tbl_Donnees[[#This Row],[Référence]]&amp;"",Tbl_Catalogue[],13,FALSE)=0,"-",VLOOKUP(Tbl_Donnees[[#This Row],[Référence]]&amp;"",Tbl_Catalogue[],13,FALSE)),"-")</f>
        <v>-</v>
      </c>
      <c r="R230" s="2"/>
    </row>
    <row r="231" spans="1:18" x14ac:dyDescent="0.2">
      <c r="A231" s="2" t="s">
        <v>357</v>
      </c>
      <c r="B231" s="5" t="s">
        <v>359</v>
      </c>
      <c r="C231" s="5" t="s">
        <v>60</v>
      </c>
      <c r="D231" s="6" t="str">
        <f>IFERROR(IF(VLOOKUP(Tbl_Donnees[[#This Row],[Référence]]&amp;"",Tbl_Catalogue[],3,FALSE)=0,"-",VLOOKUP(Tbl_Donnees[[#This Row],[Référence]]&amp;"",Tbl_Catalogue[],3,FALSE)),"-")</f>
        <v>ALIM. REDRESSEE FILTREE</v>
      </c>
      <c r="E231" s="6">
        <v>1</v>
      </c>
      <c r="F231" s="6" t="str">
        <f>IFERROR(IF(VLOOKUP(Tbl_Donnees[[#This Row],[Référence]]&amp;"",Tbl_Catalogue[],2,FALSE)=0,"-",VLOOKUP(Tbl_Donnees[[#This Row],[Référence]]&amp;"",Tbl_Catalogue[],2,FALSE)),"-")</f>
        <v>MURR ELEKTRONIK</v>
      </c>
      <c r="G231" s="20" t="s">
        <v>727</v>
      </c>
      <c r="H231" s="6" t="str">
        <f>IFERROR(IF(VLOOKUP(Tbl_Donnees[[#This Row],[Référence]]&amp;"",Tbl_Catalogue[],4,FALSE)=0,"-",VLOOKUP(Tbl_Donnees[[#This Row],[Référence]]&amp;"",Tbl_Catalogue[],4,FALSE)),"-")</f>
        <v>Produit Actif</v>
      </c>
      <c r="I231" s="2" t="str">
        <f>IFERROR(IF(VLOOKUP(Tbl_Donnees[[#This Row],[Référence]]&amp;"",Tbl_Catalogue[],5,FALSE)=0,"-",VLOOKUP(Tbl_Donnees[[#This Row],[Référence]]&amp;"",Tbl_Catalogue[],5,FALSE)),"INCONNU")</f>
        <v>ACTIF</v>
      </c>
      <c r="J231" s="3" t="str">
        <f>IFERROR(IF(VLOOKUP(Tbl_Donnees[[#This Row],[Référence]]&amp;"",Tbl_Catalogue[],6,FALSE)=0,"-",VLOOKUP(Tbl_Donnees[[#This Row],[Référence]]&amp;"",Tbl_Catalogue[],6,FALSE)),"-")</f>
        <v>https://shop.murrelektronik.fr/fr/Electronique-dans-l-armoire-lectrique/Alimentation-lectrique-DC/Alimentations-redress-es-filtr-es/Alimentation-redress-e-filtr-e-MEN-mono-biphas-e-85357.html</v>
      </c>
      <c r="K231" s="2" t="str">
        <f>IFERROR(IF(VLOOKUP(Tbl_Donnees[[#This Row],[Référence]]&amp;"",Tbl_Catalogue[],7,FALSE)=0,"-",VLOOKUP(Tbl_Donnees[[#This Row],[Référence]]&amp;"",Tbl_Catalogue[],7,FALSE)),"-")</f>
        <v>-</v>
      </c>
      <c r="L231" s="5" t="str">
        <f>IFERROR(IF(VLOOKUP(Tbl_Donnees[[#This Row],[Référence]]&amp;"",Tbl_Catalogue[],10,FALSE)=0,"-",VLOOKUP(Tbl_Donnees[[#This Row],[Référence]]&amp;"",Tbl_Catalogue[],10,FALSE)),"-")</f>
        <v>-</v>
      </c>
      <c r="M231" s="2" t="str">
        <f>IFERROR(IF(VLOOKUP(Tbl_Donnees[[#This Row],[Référence]]&amp;"",Tbl_Catalogue[],8,FALSE)=0,"-",VLOOKUP(Tbl_Donnees[[#This Row],[Référence]]&amp;"",Tbl_Catalogue[],8,FALSE)),"-")</f>
        <v>-</v>
      </c>
      <c r="N231" s="5" t="str">
        <f>IFERROR(IF(VLOOKUP(Tbl_Donnees[[#This Row],[Référence]]&amp;"",Tbl_Catalogue[],9,FALSE)=0,"-",VLOOKUP(Tbl_Donnees[[#This Row],[Référence]]&amp;"",Tbl_Catalogue[],9,FALSE)),"-")</f>
        <v>-</v>
      </c>
      <c r="O231" s="5" t="str">
        <f>IFERROR(IF(VLOOKUP(Tbl_Donnees[[#This Row],[Référence]]&amp;"",Tbl_Catalogue[],11,FALSE)=0,"-",VLOOKUP(Tbl_Donnees[[#This Row],[Référence]]&amp;"",Tbl_Catalogue[],11,FALSE)),"-")</f>
        <v>-</v>
      </c>
      <c r="P231" s="2" t="str">
        <f>IFERROR(IF(VLOOKUP(Tbl_Donnees[[#This Row],[Référence]]&amp;"",Tbl_Catalogue[],12,FALSE)=0,"-",VLOOKUP(Tbl_Donnees[[#This Row],[Référence]]&amp;"",Tbl_Catalogue[],12,FALSE)),"-")</f>
        <v>-</v>
      </c>
      <c r="Q231" s="13" t="str">
        <f>IFERROR(IF(VLOOKUP(Tbl_Donnees[[#This Row],[Référence]]&amp;"",Tbl_Catalogue[],13,FALSE)=0,"-",VLOOKUP(Tbl_Donnees[[#This Row],[Référence]]&amp;"",Tbl_Catalogue[],13,FALSE)),"-")</f>
        <v>-</v>
      </c>
      <c r="R231" s="2"/>
    </row>
    <row r="232" spans="1:18" x14ac:dyDescent="0.2">
      <c r="A232" s="2" t="s">
        <v>357</v>
      </c>
      <c r="B232" s="5" t="s">
        <v>359</v>
      </c>
      <c r="C232" s="5" t="s">
        <v>60</v>
      </c>
      <c r="D232" s="6" t="str">
        <f>IFERROR(IF(VLOOKUP(Tbl_Donnees[[#This Row],[Référence]]&amp;"",Tbl_Catalogue[],3,FALSE)=0,"-",VLOOKUP(Tbl_Donnees[[#This Row],[Référence]]&amp;"",Tbl_Catalogue[],3,FALSE)),"-")</f>
        <v>SUPPRESSEUR DIODE ZENER</v>
      </c>
      <c r="E232" s="6">
        <v>1</v>
      </c>
      <c r="F232" s="6" t="str">
        <f>IFERROR(IF(VLOOKUP(Tbl_Donnees[[#This Row],[Référence]]&amp;"",Tbl_Catalogue[],2,FALSE)=0,"-",VLOOKUP(Tbl_Donnees[[#This Row],[Référence]]&amp;"",Tbl_Catalogue[],2,FALSE)),"-")</f>
        <v>MURR ELEKTRONIK</v>
      </c>
      <c r="G232" s="20" t="s">
        <v>728</v>
      </c>
      <c r="H232" s="6" t="str">
        <f>IFERROR(IF(VLOOKUP(Tbl_Donnees[[#This Row],[Référence]]&amp;"",Tbl_Catalogue[],4,FALSE)=0,"-",VLOOKUP(Tbl_Donnees[[#This Row],[Référence]]&amp;"",Tbl_Catalogue[],4,FALSE)),"-")</f>
        <v>Produit Actif</v>
      </c>
      <c r="I232" s="2" t="str">
        <f>IFERROR(IF(VLOOKUP(Tbl_Donnees[[#This Row],[Référence]]&amp;"",Tbl_Catalogue[],5,FALSE)=0,"-",VLOOKUP(Tbl_Donnees[[#This Row],[Référence]]&amp;"",Tbl_Catalogue[],5,FALSE)),"INCONNU")</f>
        <v>ACTIF</v>
      </c>
      <c r="J232" s="3" t="str">
        <f>IFERROR(IF(VLOOKUP(Tbl_Donnees[[#This Row],[Référence]]&amp;"",Tbl_Catalogue[],6,FALSE)=0,"-",VLOOKUP(Tbl_Donnees[[#This Row],[Référence]]&amp;"",Tbl_Catalogue[],6,FALSE)),"-")</f>
        <v>https://shop.murrelektronik.com/en/Electronics-in-the-Control-Cabinet/EMC-Suppressors/Modules/SUPPRESSOR-FOR-SIEMENS-CONTACTOR-26036.html?listtype=search&amp;searchparam=26036&amp;src=search&amp;srchPage=1&amp;perPage=10&amp;pos=1</v>
      </c>
      <c r="K232" s="2" t="str">
        <f>IFERROR(IF(VLOOKUP(Tbl_Donnees[[#This Row],[Référence]]&amp;"",Tbl_Catalogue[],7,FALSE)=0,"-",VLOOKUP(Tbl_Donnees[[#This Row],[Référence]]&amp;"",Tbl_Catalogue[],7,FALSE)),"-")</f>
        <v>-</v>
      </c>
      <c r="L232" s="5" t="str">
        <f>IFERROR(IF(VLOOKUP(Tbl_Donnees[[#This Row],[Référence]]&amp;"",Tbl_Catalogue[],10,FALSE)=0,"-",VLOOKUP(Tbl_Donnees[[#This Row],[Référence]]&amp;"",Tbl_Catalogue[],10,FALSE)),"-")</f>
        <v>-</v>
      </c>
      <c r="M232" s="2" t="str">
        <f>IFERROR(IF(VLOOKUP(Tbl_Donnees[[#This Row],[Référence]]&amp;"",Tbl_Catalogue[],8,FALSE)=0,"-",VLOOKUP(Tbl_Donnees[[#This Row],[Référence]]&amp;"",Tbl_Catalogue[],8,FALSE)),"-")</f>
        <v>-</v>
      </c>
      <c r="N232" s="5" t="str">
        <f>IFERROR(IF(VLOOKUP(Tbl_Donnees[[#This Row],[Référence]]&amp;"",Tbl_Catalogue[],9,FALSE)=0,"-",VLOOKUP(Tbl_Donnees[[#This Row],[Référence]]&amp;"",Tbl_Catalogue[],9,FALSE)),"-")</f>
        <v>-</v>
      </c>
      <c r="O232" s="5" t="str">
        <f>IFERROR(IF(VLOOKUP(Tbl_Donnees[[#This Row],[Référence]]&amp;"",Tbl_Catalogue[],11,FALSE)=0,"-",VLOOKUP(Tbl_Donnees[[#This Row],[Référence]]&amp;"",Tbl_Catalogue[],11,FALSE)),"-")</f>
        <v>-</v>
      </c>
      <c r="P232" s="2" t="str">
        <f>IFERROR(IF(VLOOKUP(Tbl_Donnees[[#This Row],[Référence]]&amp;"",Tbl_Catalogue[],12,FALSE)=0,"-",VLOOKUP(Tbl_Donnees[[#This Row],[Référence]]&amp;"",Tbl_Catalogue[],12,FALSE)),"-")</f>
        <v>-</v>
      </c>
      <c r="Q232" s="13" t="str">
        <f>IFERROR(IF(VLOOKUP(Tbl_Donnees[[#This Row],[Référence]]&amp;"",Tbl_Catalogue[],13,FALSE)=0,"-",VLOOKUP(Tbl_Donnees[[#This Row],[Référence]]&amp;"",Tbl_Catalogue[],13,FALSE)),"-")</f>
        <v>-</v>
      </c>
      <c r="R232" s="5"/>
    </row>
    <row r="233" spans="1:18" x14ac:dyDescent="0.2">
      <c r="A233" s="2" t="s">
        <v>357</v>
      </c>
      <c r="B233" s="5" t="s">
        <v>359</v>
      </c>
      <c r="C233" s="5" t="s">
        <v>60</v>
      </c>
      <c r="D233" s="6" t="str">
        <f>IFERROR(IF(VLOOKUP(Tbl_Donnees[[#This Row],[Référence]]&amp;"",Tbl_Catalogue[],3,FALSE)=0,"-",VLOOKUP(Tbl_Donnees[[#This Row],[Référence]]&amp;"",Tbl_Catalogue[],3,FALSE)),"-")</f>
        <v xml:space="preserve">CONNECTEUR EV FORME A </v>
      </c>
      <c r="E233" s="6">
        <v>1</v>
      </c>
      <c r="F233" s="6" t="str">
        <f>IFERROR(IF(VLOOKUP(Tbl_Donnees[[#This Row],[Référence]]&amp;"",Tbl_Catalogue[],2,FALSE)=0,"-",VLOOKUP(Tbl_Donnees[[#This Row],[Référence]]&amp;"",Tbl_Catalogue[],2,FALSE)),"-")</f>
        <v>MURR ELEKTRONIK</v>
      </c>
      <c r="G233" s="20" t="s">
        <v>479</v>
      </c>
      <c r="H233" s="6" t="str">
        <f>IFERROR(IF(VLOOKUP(Tbl_Donnees[[#This Row],[Référence]]&amp;"",Tbl_Catalogue[],4,FALSE)=0,"-",VLOOKUP(Tbl_Donnees[[#This Row],[Référence]]&amp;"",Tbl_Catalogue[],4,FALSE)),"-")</f>
        <v>Produit Actif</v>
      </c>
      <c r="I233" s="2" t="str">
        <f>IFERROR(IF(VLOOKUP(Tbl_Donnees[[#This Row],[Référence]]&amp;"",Tbl_Catalogue[],5,FALSE)=0,"-",VLOOKUP(Tbl_Donnees[[#This Row],[Référence]]&amp;"",Tbl_Catalogue[],5,FALSE)),"INCONNU")</f>
        <v>ACTIF</v>
      </c>
      <c r="J233" s="3" t="str">
        <f>IFERROR(IF(VLOOKUP(Tbl_Donnees[[#This Row],[Référence]]&amp;"",Tbl_Catalogue[],6,FALSE)=0,"-",VLOOKUP(Tbl_Donnees[[#This Row],[Référence]]&amp;"",Tbl_Catalogue[],6,FALSE)),"-")</f>
        <v>https://shop.murrelektronik.fr/fr/Technologie-de-Connexion/Connecteur-d-lectrovannes/Avec-extr-mit-de-c-ble-libre/Connecteur-EV-forme-A-18mm-avec-c-ble-7000-18141-6280150.html</v>
      </c>
      <c r="K233" s="2" t="str">
        <f>IFERROR(IF(VLOOKUP(Tbl_Donnees[[#This Row],[Référence]]&amp;"",Tbl_Catalogue[],7,FALSE)=0,"-",VLOOKUP(Tbl_Donnees[[#This Row],[Référence]]&amp;"",Tbl_Catalogue[],7,FALSE)),"-")</f>
        <v>-</v>
      </c>
      <c r="L233" s="5" t="str">
        <f>IFERROR(IF(VLOOKUP(Tbl_Donnees[[#This Row],[Référence]]&amp;"",Tbl_Catalogue[],10,FALSE)=0,"-",VLOOKUP(Tbl_Donnees[[#This Row],[Référence]]&amp;"",Tbl_Catalogue[],10,FALSE)),"-")</f>
        <v>-</v>
      </c>
      <c r="M233" s="2" t="str">
        <f>IFERROR(IF(VLOOKUP(Tbl_Donnees[[#This Row],[Référence]]&amp;"",Tbl_Catalogue[],8,FALSE)=0,"-",VLOOKUP(Tbl_Donnees[[#This Row],[Référence]]&amp;"",Tbl_Catalogue[],8,FALSE)),"-")</f>
        <v>-</v>
      </c>
      <c r="N233" s="5" t="str">
        <f>IFERROR(IF(VLOOKUP(Tbl_Donnees[[#This Row],[Référence]]&amp;"",Tbl_Catalogue[],9,FALSE)=0,"-",VLOOKUP(Tbl_Donnees[[#This Row],[Référence]]&amp;"",Tbl_Catalogue[],9,FALSE)),"-")</f>
        <v>-</v>
      </c>
      <c r="O233" s="5" t="str">
        <f>IFERROR(IF(VLOOKUP(Tbl_Donnees[[#This Row],[Référence]]&amp;"",Tbl_Catalogue[],11,FALSE)=0,"-",VLOOKUP(Tbl_Donnees[[#This Row],[Référence]]&amp;"",Tbl_Catalogue[],11,FALSE)),"-")</f>
        <v>-</v>
      </c>
      <c r="P233" s="2" t="str">
        <f>IFERROR(IF(VLOOKUP(Tbl_Donnees[[#This Row],[Référence]]&amp;"",Tbl_Catalogue[],12,FALSE)=0,"-",VLOOKUP(Tbl_Donnees[[#This Row],[Référence]]&amp;"",Tbl_Catalogue[],12,FALSE)),"-")</f>
        <v>-</v>
      </c>
      <c r="Q233" s="13" t="str">
        <f>IFERROR(IF(VLOOKUP(Tbl_Donnees[[#This Row],[Référence]]&amp;"",Tbl_Catalogue[],13,FALSE)=0,"-",VLOOKUP(Tbl_Donnees[[#This Row],[Référence]]&amp;"",Tbl_Catalogue[],13,FALSE)),"-")</f>
        <v>-</v>
      </c>
      <c r="R233" s="2"/>
    </row>
    <row r="234" spans="1:18" x14ac:dyDescent="0.2">
      <c r="A234" s="2" t="s">
        <v>357</v>
      </c>
      <c r="B234" s="5" t="s">
        <v>359</v>
      </c>
      <c r="C234" s="5" t="s">
        <v>60</v>
      </c>
      <c r="D234" s="6" t="str">
        <f>IFERROR(IF(VLOOKUP(Tbl_Donnees[[#This Row],[Référence]]&amp;"",Tbl_Catalogue[],3,FALSE)=0,"-",VLOOKUP(Tbl_Donnees[[#This Row],[Référence]]&amp;"",Tbl_Catalogue[],3,FALSE)),"-")</f>
        <v>REPARTITEUR PASSIF M12</v>
      </c>
      <c r="E234" s="6">
        <v>1</v>
      </c>
      <c r="F234" s="6" t="str">
        <f>IFERROR(IF(VLOOKUP(Tbl_Donnees[[#This Row],[Référence]]&amp;"",Tbl_Catalogue[],2,FALSE)=0,"-",VLOOKUP(Tbl_Donnees[[#This Row],[Référence]]&amp;"",Tbl_Catalogue[],2,FALSE)),"-")</f>
        <v>MURR ELEKTRONIK</v>
      </c>
      <c r="G234" s="20" t="s">
        <v>729</v>
      </c>
      <c r="H234" s="6" t="str">
        <f>IFERROR(IF(VLOOKUP(Tbl_Donnees[[#This Row],[Référence]]&amp;"",Tbl_Catalogue[],4,FALSE)=0,"-",VLOOKUP(Tbl_Donnees[[#This Row],[Référence]]&amp;"",Tbl_Catalogue[],4,FALSE)),"-")</f>
        <v>Produit Actif</v>
      </c>
      <c r="I234" s="2" t="str">
        <f>IFERROR(IF(VLOOKUP(Tbl_Donnees[[#This Row],[Référence]]&amp;"",Tbl_Catalogue[],5,FALSE)=0,"-",VLOOKUP(Tbl_Donnees[[#This Row],[Référence]]&amp;"",Tbl_Catalogue[],5,FALSE)),"INCONNU")</f>
        <v>ACTIF</v>
      </c>
      <c r="J234" s="3" t="str">
        <f>IFERROR(IF(VLOOKUP(Tbl_Donnees[[#This Row],[Référence]]&amp;"",Tbl_Catalogue[],6,FALSE)=0,"-",VLOOKUP(Tbl_Donnees[[#This Row],[Référence]]&amp;"",Tbl_Catalogue[],6,FALSE)),"-")</f>
        <v>https://shop.murrelektronik.fr/fr/oxid/R-partiteur-passif-plastique-8xM12-5-p-les-bornier-27106.html?listtype=search&amp;searchparam=27106&amp;src=search&amp;srchPage=1&amp;perPage=10&amp;pos=1</v>
      </c>
      <c r="K234" s="2" t="str">
        <f>IFERROR(IF(VLOOKUP(Tbl_Donnees[[#This Row],[Référence]]&amp;"",Tbl_Catalogue[],7,FALSE)=0,"-",VLOOKUP(Tbl_Donnees[[#This Row],[Référence]]&amp;"",Tbl_Catalogue[],7,FALSE)),"-")</f>
        <v>-</v>
      </c>
      <c r="L234" s="5" t="str">
        <f>IFERROR(IF(VLOOKUP(Tbl_Donnees[[#This Row],[Référence]]&amp;"",Tbl_Catalogue[],10,FALSE)=0,"-",VLOOKUP(Tbl_Donnees[[#This Row],[Référence]]&amp;"",Tbl_Catalogue[],10,FALSE)),"-")</f>
        <v>-</v>
      </c>
      <c r="M234" s="2" t="str">
        <f>IFERROR(IF(VLOOKUP(Tbl_Donnees[[#This Row],[Référence]]&amp;"",Tbl_Catalogue[],8,FALSE)=0,"-",VLOOKUP(Tbl_Donnees[[#This Row],[Référence]]&amp;"",Tbl_Catalogue[],8,FALSE)),"-")</f>
        <v>-</v>
      </c>
      <c r="N234" s="5" t="str">
        <f>IFERROR(IF(VLOOKUP(Tbl_Donnees[[#This Row],[Référence]]&amp;"",Tbl_Catalogue[],9,FALSE)=0,"-",VLOOKUP(Tbl_Donnees[[#This Row],[Référence]]&amp;"",Tbl_Catalogue[],9,FALSE)),"-")</f>
        <v>-</v>
      </c>
      <c r="O234" s="5" t="str">
        <f>IFERROR(IF(VLOOKUP(Tbl_Donnees[[#This Row],[Référence]]&amp;"",Tbl_Catalogue[],11,FALSE)=0,"-",VLOOKUP(Tbl_Donnees[[#This Row],[Référence]]&amp;"",Tbl_Catalogue[],11,FALSE)),"-")</f>
        <v>-</v>
      </c>
      <c r="P234" s="2" t="str">
        <f>IFERROR(IF(VLOOKUP(Tbl_Donnees[[#This Row],[Référence]]&amp;"",Tbl_Catalogue[],12,FALSE)=0,"-",VLOOKUP(Tbl_Donnees[[#This Row],[Référence]]&amp;"",Tbl_Catalogue[],12,FALSE)),"-")</f>
        <v>-</v>
      </c>
      <c r="Q234" s="13" t="str">
        <f>IFERROR(IF(VLOOKUP(Tbl_Donnees[[#This Row],[Référence]]&amp;"",Tbl_Catalogue[],13,FALSE)=0,"-",VLOOKUP(Tbl_Donnees[[#This Row],[Référence]]&amp;"",Tbl_Catalogue[],13,FALSE)),"-")</f>
        <v>-</v>
      </c>
      <c r="R234" s="5"/>
    </row>
    <row r="235" spans="1:18" x14ac:dyDescent="0.2">
      <c r="A235" s="2" t="s">
        <v>357</v>
      </c>
      <c r="B235" s="5" t="s">
        <v>359</v>
      </c>
      <c r="C235" s="5" t="s">
        <v>60</v>
      </c>
      <c r="D235" s="6" t="str">
        <f>IFERROR(IF(VLOOKUP(Tbl_Donnees[[#This Row],[Référence]]&amp;"",Tbl_Catalogue[],3,FALSE)=0,"-",VLOOKUP(Tbl_Donnees[[#This Row],[Référence]]&amp;"",Tbl_Catalogue[],3,FALSE)),"-")</f>
        <v>MOT. ASYNCHRONE TRIPHASE</v>
      </c>
      <c r="E235" s="6">
        <v>1</v>
      </c>
      <c r="F235" s="6" t="str">
        <f>IFERROR(IF(VLOOKUP(Tbl_Donnees[[#This Row],[Référence]]&amp;"",Tbl_Catalogue[],2,FALSE)=0,"-",VLOOKUP(Tbl_Donnees[[#This Row],[Référence]]&amp;"",Tbl_Catalogue[],2,FALSE)),"-")</f>
        <v>LEROY SOMER</v>
      </c>
      <c r="G235" s="20" t="s">
        <v>462</v>
      </c>
      <c r="H235" s="6" t="str">
        <f>IFERROR(IF(VLOOKUP(Tbl_Donnees[[#This Row],[Référence]]&amp;"",Tbl_Catalogue[],4,FALSE)=0,"-",VLOOKUP(Tbl_Donnees[[#This Row],[Référence]]&amp;"",Tbl_Catalogue[],4,FALSE)),"-")</f>
        <v>-</v>
      </c>
      <c r="I235" s="2" t="str">
        <f>IFERROR(IF(VLOOKUP(Tbl_Donnees[[#This Row],[Référence]]&amp;"",Tbl_Catalogue[],5,FALSE)=0,"-",VLOOKUP(Tbl_Donnees[[#This Row],[Référence]]&amp;"",Tbl_Catalogue[],5,FALSE)),"INCONNU")</f>
        <v>INCONNU</v>
      </c>
      <c r="J235" s="3" t="str">
        <f>IFERROR(IF(VLOOKUP(Tbl_Donnees[[#This Row],[Référence]]&amp;"",Tbl_Catalogue[],6,FALSE)=0,"-",VLOOKUP(Tbl_Donnees[[#This Row],[Référence]]&amp;"",Tbl_Catalogue[],6,FALSE)),"-")</f>
        <v>https://acim.nidec.com/fr-CH/motors/leroy-somer/Products/induction-motors/3-phase-motors-for-standard-applications/ls</v>
      </c>
      <c r="K235" s="2" t="str">
        <f>IFERROR(IF(VLOOKUP(Tbl_Donnees[[#This Row],[Référence]]&amp;"",Tbl_Catalogue[],7,FALSE)=0,"-",VLOOKUP(Tbl_Donnees[[#This Row],[Référence]]&amp;"",Tbl_Catalogue[],7,FALSE)),"-")</f>
        <v>INCONNU</v>
      </c>
      <c r="L235" s="5" t="str">
        <f>IFERROR(IF(VLOOKUP(Tbl_Donnees[[#This Row],[Référence]]&amp;"",Tbl_Catalogue[],10,FALSE)=0,"-",VLOOKUP(Tbl_Donnees[[#This Row],[Référence]]&amp;"",Tbl_Catalogue[],10,FALSE)),"-")</f>
        <v>-</v>
      </c>
      <c r="M235" s="2" t="str">
        <f>IFERROR(IF(VLOOKUP(Tbl_Donnees[[#This Row],[Référence]]&amp;"",Tbl_Catalogue[],8,FALSE)=0,"-",VLOOKUP(Tbl_Donnees[[#This Row],[Référence]]&amp;"",Tbl_Catalogue[],8,FALSE)),"-")</f>
        <v>-</v>
      </c>
      <c r="N235" s="5" t="str">
        <f>IFERROR(IF(VLOOKUP(Tbl_Donnees[[#This Row],[Référence]]&amp;"",Tbl_Catalogue[],9,FALSE)=0,"-",VLOOKUP(Tbl_Donnees[[#This Row],[Référence]]&amp;"",Tbl_Catalogue[],9,FALSE)),"-")</f>
        <v>-</v>
      </c>
      <c r="O235" s="5" t="str">
        <f>IFERROR(IF(VLOOKUP(Tbl_Donnees[[#This Row],[Référence]]&amp;"",Tbl_Catalogue[],11,FALSE)=0,"-",VLOOKUP(Tbl_Donnees[[#This Row],[Référence]]&amp;"",Tbl_Catalogue[],11,FALSE)),"-")</f>
        <v>-</v>
      </c>
      <c r="P235" s="2" t="str">
        <f>IFERROR(IF(VLOOKUP(Tbl_Donnees[[#This Row],[Référence]]&amp;"",Tbl_Catalogue[],12,FALSE)=0,"-",VLOOKUP(Tbl_Donnees[[#This Row],[Référence]]&amp;"",Tbl_Catalogue[],12,FALSE)),"-")</f>
        <v>-</v>
      </c>
      <c r="Q235" s="13" t="str">
        <f>IFERROR(IF(VLOOKUP(Tbl_Donnees[[#This Row],[Référence]]&amp;"",Tbl_Catalogue[],13,FALSE)=0,"-",VLOOKUP(Tbl_Donnees[[#This Row],[Référence]]&amp;"",Tbl_Catalogue[],13,FALSE)),"-")</f>
        <v>-</v>
      </c>
      <c r="R235" s="5"/>
    </row>
    <row r="236" spans="1:18" x14ac:dyDescent="0.2">
      <c r="A236" s="2" t="s">
        <v>357</v>
      </c>
      <c r="B236" s="5" t="s">
        <v>359</v>
      </c>
      <c r="C236" s="5" t="s">
        <v>60</v>
      </c>
      <c r="D236" s="6" t="str">
        <f>IFERROR(IF(VLOOKUP(Tbl_Donnees[[#This Row],[Référence]]&amp;"",Tbl_Catalogue[],3,FALSE)=0,"-",VLOOKUP(Tbl_Donnees[[#This Row],[Référence]]&amp;"",Tbl_Catalogue[],3,FALSE)),"-")</f>
        <v>INTERRUPTEUR GENERAL</v>
      </c>
      <c r="E236" s="6">
        <v>1</v>
      </c>
      <c r="F236" s="6" t="str">
        <f>IFERROR(IF(VLOOKUP(Tbl_Donnees[[#This Row],[Référence]]&amp;"",Tbl_Catalogue[],2,FALSE)=0,"-",VLOOKUP(Tbl_Donnees[[#This Row],[Référence]]&amp;"",Tbl_Catalogue[],2,FALSE)),"-")</f>
        <v>KRAUS &amp; NAIMER</v>
      </c>
      <c r="G236" s="20" t="s">
        <v>457</v>
      </c>
      <c r="H236" s="6" t="str">
        <f>IFERROR(IF(VLOOKUP(Tbl_Donnees[[#This Row],[Référence]]&amp;"",Tbl_Catalogue[],4,FALSE)=0,"-",VLOOKUP(Tbl_Donnees[[#This Row],[Référence]]&amp;"",Tbl_Catalogue[],4,FALSE)),"-")</f>
        <v>-</v>
      </c>
      <c r="I236" s="2" t="str">
        <f>IFERROR(IF(VLOOKUP(Tbl_Donnees[[#This Row],[Référence]]&amp;"",Tbl_Catalogue[],5,FALSE)=0,"-",VLOOKUP(Tbl_Donnees[[#This Row],[Référence]]&amp;"",Tbl_Catalogue[],5,FALSE)),"INCONNU")</f>
        <v>INCONNU</v>
      </c>
      <c r="J236" s="3" t="str">
        <f>IFERROR(IF(VLOOKUP(Tbl_Donnees[[#This Row],[Référence]]&amp;"",Tbl_Catalogue[],6,FALSE)=0,"-",VLOOKUP(Tbl_Donnees[[#This Row],[Référence]]&amp;"",Tbl_Catalogue[],6,FALSE)),"-")</f>
        <v>-</v>
      </c>
      <c r="K236" s="2" t="str">
        <f>IFERROR(IF(VLOOKUP(Tbl_Donnees[[#This Row],[Référence]]&amp;"",Tbl_Catalogue[],7,FALSE)=0,"-",VLOOKUP(Tbl_Donnees[[#This Row],[Référence]]&amp;"",Tbl_Catalogue[],7,FALSE)),"-")</f>
        <v>INCONNU</v>
      </c>
      <c r="L236" s="5" t="str">
        <f>IFERROR(IF(VLOOKUP(Tbl_Donnees[[#This Row],[Référence]]&amp;"",Tbl_Catalogue[],10,FALSE)=0,"-",VLOOKUP(Tbl_Donnees[[#This Row],[Référence]]&amp;"",Tbl_Catalogue[],10,FALSE)),"-")</f>
        <v>-</v>
      </c>
      <c r="M236" s="2" t="str">
        <f>IFERROR(IF(VLOOKUP(Tbl_Donnees[[#This Row],[Référence]]&amp;"",Tbl_Catalogue[],8,FALSE)=0,"-",VLOOKUP(Tbl_Donnees[[#This Row],[Référence]]&amp;"",Tbl_Catalogue[],8,FALSE)),"-")</f>
        <v>-</v>
      </c>
      <c r="N236" s="5" t="str">
        <f>IFERROR(IF(VLOOKUP(Tbl_Donnees[[#This Row],[Référence]]&amp;"",Tbl_Catalogue[],9,FALSE)=0,"-",VLOOKUP(Tbl_Donnees[[#This Row],[Référence]]&amp;"",Tbl_Catalogue[],9,FALSE)),"-")</f>
        <v>-</v>
      </c>
      <c r="O236" s="5" t="str">
        <f>IFERROR(IF(VLOOKUP(Tbl_Donnees[[#This Row],[Référence]]&amp;"",Tbl_Catalogue[],11,FALSE)=0,"-",VLOOKUP(Tbl_Donnees[[#This Row],[Référence]]&amp;"",Tbl_Catalogue[],11,FALSE)),"-")</f>
        <v>-</v>
      </c>
      <c r="P236" s="2" t="str">
        <f>IFERROR(IF(VLOOKUP(Tbl_Donnees[[#This Row],[Référence]]&amp;"",Tbl_Catalogue[],12,FALSE)=0,"-",VLOOKUP(Tbl_Donnees[[#This Row],[Référence]]&amp;"",Tbl_Catalogue[],12,FALSE)),"-")</f>
        <v>-</v>
      </c>
      <c r="Q236" s="13" t="str">
        <f>IFERROR(IF(VLOOKUP(Tbl_Donnees[[#This Row],[Référence]]&amp;"",Tbl_Catalogue[],13,FALSE)=0,"-",VLOOKUP(Tbl_Donnees[[#This Row],[Référence]]&amp;"",Tbl_Catalogue[],13,FALSE)),"-")</f>
        <v>-</v>
      </c>
      <c r="R236" s="2"/>
    </row>
    <row r="237" spans="1:18" x14ac:dyDescent="0.2">
      <c r="A237" s="2" t="s">
        <v>357</v>
      </c>
      <c r="B237" s="5" t="s">
        <v>359</v>
      </c>
      <c r="C237" s="5" t="s">
        <v>60</v>
      </c>
      <c r="D237" s="6" t="str">
        <f>IFERROR(IF(VLOOKUP(Tbl_Donnees[[#This Row],[Référence]]&amp;"",Tbl_Catalogue[],3,FALSE)=0,"-",VLOOKUP(Tbl_Donnees[[#This Row],[Référence]]&amp;"",Tbl_Catalogue[],3,FALSE)),"-")</f>
        <v>POMPE ASPIRATION FKA500</v>
      </c>
      <c r="E237" s="6">
        <v>1</v>
      </c>
      <c r="F237" s="6" t="str">
        <f>IFERROR(IF(VLOOKUP(Tbl_Donnees[[#This Row],[Référence]]&amp;"",Tbl_Catalogue[],2,FALSE)=0,"-",VLOOKUP(Tbl_Donnees[[#This Row],[Référence]]&amp;"",Tbl_Catalogue[],2,FALSE)),"-")</f>
        <v>KNOLL</v>
      </c>
      <c r="G237" s="20" t="s">
        <v>473</v>
      </c>
      <c r="H237" s="6" t="str">
        <f>IFERROR(IF(VLOOKUP(Tbl_Donnees[[#This Row],[Référence]]&amp;"",Tbl_Catalogue[],4,FALSE)=0,"-",VLOOKUP(Tbl_Donnees[[#This Row],[Référence]]&amp;"",Tbl_Catalogue[],4,FALSE)),"-")</f>
        <v>-</v>
      </c>
      <c r="I237" s="2" t="str">
        <f>IFERROR(IF(VLOOKUP(Tbl_Donnees[[#This Row],[Référence]]&amp;"",Tbl_Catalogue[],5,FALSE)=0,"-",VLOOKUP(Tbl_Donnees[[#This Row],[Référence]]&amp;"",Tbl_Catalogue[],5,FALSE)),"INCONNU")</f>
        <v>INCONNU</v>
      </c>
      <c r="J237" s="3" t="str">
        <f>IFERROR(IF(VLOOKUP(Tbl_Donnees[[#This Row],[Référence]]&amp;"",Tbl_Catalogue[],6,FALSE)=0,"-",VLOOKUP(Tbl_Donnees[[#This Row],[Référence]]&amp;"",Tbl_Catalogue[],6,FALSE)),"-")</f>
        <v>-</v>
      </c>
      <c r="K237" s="2" t="str">
        <f>IFERROR(IF(VLOOKUP(Tbl_Donnees[[#This Row],[Référence]]&amp;"",Tbl_Catalogue[],7,FALSE)=0,"-",VLOOKUP(Tbl_Donnees[[#This Row],[Référence]]&amp;"",Tbl_Catalogue[],7,FALSE)),"-")</f>
        <v>INCONNU</v>
      </c>
      <c r="L237" s="5" t="str">
        <f>IFERROR(IF(VLOOKUP(Tbl_Donnees[[#This Row],[Référence]]&amp;"",Tbl_Catalogue[],10,FALSE)=0,"-",VLOOKUP(Tbl_Donnees[[#This Row],[Référence]]&amp;"",Tbl_Catalogue[],10,FALSE)),"-")</f>
        <v>-</v>
      </c>
      <c r="M237" s="2" t="str">
        <f>IFERROR(IF(VLOOKUP(Tbl_Donnees[[#This Row],[Référence]]&amp;"",Tbl_Catalogue[],8,FALSE)=0,"-",VLOOKUP(Tbl_Donnees[[#This Row],[Référence]]&amp;"",Tbl_Catalogue[],8,FALSE)),"-")</f>
        <v>-</v>
      </c>
      <c r="N237" s="5" t="str">
        <f>IFERROR(IF(VLOOKUP(Tbl_Donnees[[#This Row],[Référence]]&amp;"",Tbl_Catalogue[],9,FALSE)=0,"-",VLOOKUP(Tbl_Donnees[[#This Row],[Référence]]&amp;"",Tbl_Catalogue[],9,FALSE)),"-")</f>
        <v>-</v>
      </c>
      <c r="O237" s="5" t="str">
        <f>IFERROR(IF(VLOOKUP(Tbl_Donnees[[#This Row],[Référence]]&amp;"",Tbl_Catalogue[],11,FALSE)=0,"-",VLOOKUP(Tbl_Donnees[[#This Row],[Référence]]&amp;"",Tbl_Catalogue[],11,FALSE)),"-")</f>
        <v>-</v>
      </c>
      <c r="P237" s="2" t="str">
        <f>IFERROR(IF(VLOOKUP(Tbl_Donnees[[#This Row],[Référence]]&amp;"",Tbl_Catalogue[],12,FALSE)=0,"-",VLOOKUP(Tbl_Donnees[[#This Row],[Référence]]&amp;"",Tbl_Catalogue[],12,FALSE)),"-")</f>
        <v>-</v>
      </c>
      <c r="Q237" s="13" t="str">
        <f>IFERROR(IF(VLOOKUP(Tbl_Donnees[[#This Row],[Référence]]&amp;"",Tbl_Catalogue[],13,FALSE)=0,"-",VLOOKUP(Tbl_Donnees[[#This Row],[Référence]]&amp;"",Tbl_Catalogue[],13,FALSE)),"-")</f>
        <v>-</v>
      </c>
      <c r="R237" s="2"/>
    </row>
    <row r="238" spans="1:18" x14ac:dyDescent="0.2">
      <c r="A238" s="2" t="s">
        <v>357</v>
      </c>
      <c r="B238" s="5" t="s">
        <v>359</v>
      </c>
      <c r="C238" s="5" t="s">
        <v>60</v>
      </c>
      <c r="D238" s="6" t="str">
        <f>IFERROR(IF(VLOOKUP(Tbl_Donnees[[#This Row],[Référence]]&amp;"",Tbl_Catalogue[],3,FALSE)=0,"-",VLOOKUP(Tbl_Donnees[[#This Row],[Référence]]&amp;"",Tbl_Catalogue[],3,FALSE)),"-")</f>
        <v>POMPE A VIS HELICOIDALE</v>
      </c>
      <c r="E238" s="6">
        <v>1</v>
      </c>
      <c r="F238" s="6" t="str">
        <f>IFERROR(IF(VLOOKUP(Tbl_Donnees[[#This Row],[Référence]]&amp;"",Tbl_Catalogue[],2,FALSE)=0,"-",VLOOKUP(Tbl_Donnees[[#This Row],[Référence]]&amp;"",Tbl_Catalogue[],2,FALSE)),"-")</f>
        <v>KNOLL</v>
      </c>
      <c r="G238" s="20" t="s">
        <v>485</v>
      </c>
      <c r="H238" s="6" t="str">
        <f>IFERROR(IF(VLOOKUP(Tbl_Donnees[[#This Row],[Référence]]&amp;"",Tbl_Catalogue[],4,FALSE)=0,"-",VLOOKUP(Tbl_Donnees[[#This Row],[Référence]]&amp;"",Tbl_Catalogue[],4,FALSE)),"-")</f>
        <v>-</v>
      </c>
      <c r="I238" s="2" t="str">
        <f>IFERROR(IF(VLOOKUP(Tbl_Donnees[[#This Row],[Référence]]&amp;"",Tbl_Catalogue[],5,FALSE)=0,"-",VLOOKUP(Tbl_Donnees[[#This Row],[Référence]]&amp;"",Tbl_Catalogue[],5,FALSE)),"INCONNU")</f>
        <v>INCONNU</v>
      </c>
      <c r="J238" s="3" t="str">
        <f>IFERROR(IF(VLOOKUP(Tbl_Donnees[[#This Row],[Référence]]&amp;"",Tbl_Catalogue[],6,FALSE)=0,"-",VLOOKUP(Tbl_Donnees[[#This Row],[Référence]]&amp;"",Tbl_Catalogue[],6,FALSE)),"-")</f>
        <v>https://www.knoll-mb.de/fr/produits/pompes/pompe-a-broches-helicoidales/pompe-a-broches-helicoidales-kts</v>
      </c>
      <c r="K238" s="2" t="str">
        <f>IFERROR(IF(VLOOKUP(Tbl_Donnees[[#This Row],[Référence]]&amp;"",Tbl_Catalogue[],7,FALSE)=0,"-",VLOOKUP(Tbl_Donnees[[#This Row],[Référence]]&amp;"",Tbl_Catalogue[],7,FALSE)),"-")</f>
        <v>INCONNU</v>
      </c>
      <c r="L238" s="5" t="str">
        <f>IFERROR(IF(VLOOKUP(Tbl_Donnees[[#This Row],[Référence]]&amp;"",Tbl_Catalogue[],10,FALSE)=0,"-",VLOOKUP(Tbl_Donnees[[#This Row],[Référence]]&amp;"",Tbl_Catalogue[],10,FALSE)),"-")</f>
        <v>-</v>
      </c>
      <c r="M238" s="2" t="str">
        <f>IFERROR(IF(VLOOKUP(Tbl_Donnees[[#This Row],[Référence]]&amp;"",Tbl_Catalogue[],8,FALSE)=0,"-",VLOOKUP(Tbl_Donnees[[#This Row],[Référence]]&amp;"",Tbl_Catalogue[],8,FALSE)),"-")</f>
        <v>-</v>
      </c>
      <c r="N238" s="5" t="str">
        <f>IFERROR(IF(VLOOKUP(Tbl_Donnees[[#This Row],[Référence]]&amp;"",Tbl_Catalogue[],9,FALSE)=0,"-",VLOOKUP(Tbl_Donnees[[#This Row],[Référence]]&amp;"",Tbl_Catalogue[],9,FALSE)),"-")</f>
        <v>-</v>
      </c>
      <c r="O238" s="5" t="str">
        <f>IFERROR(IF(VLOOKUP(Tbl_Donnees[[#This Row],[Référence]]&amp;"",Tbl_Catalogue[],11,FALSE)=0,"-",VLOOKUP(Tbl_Donnees[[#This Row],[Référence]]&amp;"",Tbl_Catalogue[],11,FALSE)),"-")</f>
        <v>-</v>
      </c>
      <c r="P238" s="2" t="str">
        <f>IFERROR(IF(VLOOKUP(Tbl_Donnees[[#This Row],[Référence]]&amp;"",Tbl_Catalogue[],12,FALSE)=0,"-",VLOOKUP(Tbl_Donnees[[#This Row],[Référence]]&amp;"",Tbl_Catalogue[],12,FALSE)),"-")</f>
        <v>-</v>
      </c>
      <c r="Q238" s="13" t="str">
        <f>IFERROR(IF(VLOOKUP(Tbl_Donnees[[#This Row],[Référence]]&amp;"",Tbl_Catalogue[],13,FALSE)=0,"-",VLOOKUP(Tbl_Donnees[[#This Row],[Référence]]&amp;"",Tbl_Catalogue[],13,FALSE)),"-")</f>
        <v>-</v>
      </c>
      <c r="R238" s="5"/>
    </row>
    <row r="239" spans="1:18" x14ac:dyDescent="0.2">
      <c r="A239" s="2" t="s">
        <v>357</v>
      </c>
      <c r="B239" s="5" t="s">
        <v>359</v>
      </c>
      <c r="C239" s="5" t="s">
        <v>60</v>
      </c>
      <c r="D239" s="6" t="str">
        <f>IFERROR(IF(VLOOKUP(Tbl_Donnees[[#This Row],[Référence]]&amp;"",Tbl_Catalogue[],3,FALSE)=0,"-",VLOOKUP(Tbl_Donnees[[#This Row],[Référence]]&amp;"",Tbl_Catalogue[],3,FALSE)),"-")</f>
        <v>FILTRE RESEAU CEM</v>
      </c>
      <c r="E239" s="6">
        <v>1</v>
      </c>
      <c r="F239" s="6" t="str">
        <f>IFERROR(IF(VLOOKUP(Tbl_Donnees[[#This Row],[Référence]]&amp;"",Tbl_Catalogue[],2,FALSE)=0,"-",VLOOKUP(Tbl_Donnees[[#This Row],[Référence]]&amp;"",Tbl_Catalogue[],2,FALSE)),"-")</f>
        <v>KEBA INDUSTRIAL AUTOMATION</v>
      </c>
      <c r="G239" s="20" t="s">
        <v>725</v>
      </c>
      <c r="H239" s="6" t="str">
        <f>IFERROR(IF(VLOOKUP(Tbl_Donnees[[#This Row],[Référence]]&amp;"",Tbl_Catalogue[],4,FALSE)=0,"-",VLOOKUP(Tbl_Donnees[[#This Row],[Référence]]&amp;"",Tbl_Catalogue[],4,FALSE)),"-")</f>
        <v>Obsolète</v>
      </c>
      <c r="I239" s="2" t="str">
        <f>IFERROR(IF(VLOOKUP(Tbl_Donnees[[#This Row],[Référence]]&amp;"",Tbl_Catalogue[],5,FALSE)=0,"-",VLOOKUP(Tbl_Donnees[[#This Row],[Référence]]&amp;"",Tbl_Catalogue[],5,FALSE)),"INCONNU")</f>
        <v>OBSOLETE</v>
      </c>
      <c r="J239" s="3" t="str">
        <f>IFERROR(IF(VLOOKUP(Tbl_Donnees[[#This Row],[Référence]]&amp;"",Tbl_Catalogue[],6,FALSE)=0,"-",VLOOKUP(Tbl_Donnees[[#This Row],[Référence]]&amp;"",Tbl_Catalogue[],6,FALSE)),"-")</f>
        <v>-</v>
      </c>
      <c r="K239" s="2" t="str">
        <f>IFERROR(IF(VLOOKUP(Tbl_Donnees[[#This Row],[Référence]]&amp;"",Tbl_Catalogue[],7,FALSE)=0,"-",VLOOKUP(Tbl_Donnees[[#This Row],[Référence]]&amp;"",Tbl_Catalogue[],7,FALSE)),"-")</f>
        <v>-</v>
      </c>
      <c r="L239" s="5" t="str">
        <f>IFERROR(IF(VLOOKUP(Tbl_Donnees[[#This Row],[Référence]]&amp;"",Tbl_Catalogue[],10,FALSE)=0,"-",VLOOKUP(Tbl_Donnees[[#This Row],[Référence]]&amp;"",Tbl_Catalogue[],10,FALSE)),"-")</f>
        <v>-</v>
      </c>
      <c r="M239" s="2" t="str">
        <f>IFERROR(IF(VLOOKUP(Tbl_Donnees[[#This Row],[Référence]]&amp;"",Tbl_Catalogue[],8,FALSE)=0,"-",VLOOKUP(Tbl_Donnees[[#This Row],[Référence]]&amp;"",Tbl_Catalogue[],8,FALSE)),"-")</f>
        <v>-</v>
      </c>
      <c r="N239" s="5" t="str">
        <f>IFERROR(IF(VLOOKUP(Tbl_Donnees[[#This Row],[Référence]]&amp;"",Tbl_Catalogue[],9,FALSE)=0,"-",VLOOKUP(Tbl_Donnees[[#This Row],[Référence]]&amp;"",Tbl_Catalogue[],9,FALSE)),"-")</f>
        <v>-</v>
      </c>
      <c r="O239" s="5" t="str">
        <f>IFERROR(IF(VLOOKUP(Tbl_Donnees[[#This Row],[Référence]]&amp;"",Tbl_Catalogue[],11,FALSE)=0,"-",VLOOKUP(Tbl_Donnees[[#This Row],[Référence]]&amp;"",Tbl_Catalogue[],11,FALSE)),"-")</f>
        <v>-</v>
      </c>
      <c r="P239" s="2" t="str">
        <f>IFERROR(IF(VLOOKUP(Tbl_Donnees[[#This Row],[Référence]]&amp;"",Tbl_Catalogue[],12,FALSE)=0,"-",VLOOKUP(Tbl_Donnees[[#This Row],[Référence]]&amp;"",Tbl_Catalogue[],12,FALSE)),"-")</f>
        <v>-</v>
      </c>
      <c r="Q239" s="13" t="str">
        <f>IFERROR(IF(VLOOKUP(Tbl_Donnees[[#This Row],[Référence]]&amp;"",Tbl_Catalogue[],13,FALSE)=0,"-",VLOOKUP(Tbl_Donnees[[#This Row],[Référence]]&amp;"",Tbl_Catalogue[],13,FALSE)),"-")</f>
        <v>-</v>
      </c>
      <c r="R239" s="5"/>
    </row>
    <row r="240" spans="1:18" x14ac:dyDescent="0.2">
      <c r="A240" s="2" t="s">
        <v>357</v>
      </c>
      <c r="B240" s="5" t="s">
        <v>359</v>
      </c>
      <c r="C240" s="5" t="s">
        <v>60</v>
      </c>
      <c r="D240" s="6" t="str">
        <f>IFERROR(IF(VLOOKUP(Tbl_Donnees[[#This Row],[Référence]]&amp;"",Tbl_Catalogue[],3,FALSE)=0,"-",VLOOKUP(Tbl_Donnees[[#This Row],[Référence]]&amp;"",Tbl_Catalogue[],3,FALSE)),"-")</f>
        <v>MONITEUR CONTROLE FR-2</v>
      </c>
      <c r="E240" s="6">
        <v>1</v>
      </c>
      <c r="F240" s="6" t="str">
        <f>IFERROR(IF(VLOOKUP(Tbl_Donnees[[#This Row],[Référence]]&amp;"",Tbl_Catalogue[],2,FALSE)=0,"-",VLOOKUP(Tbl_Donnees[[#This Row],[Référence]]&amp;"",Tbl_Catalogue[],2,FALSE)),"-")</f>
        <v>IFM ELECTRONIC</v>
      </c>
      <c r="G240" s="20" t="s">
        <v>455</v>
      </c>
      <c r="H240" s="6" t="str">
        <f>IFERROR(IF(VLOOKUP(Tbl_Donnees[[#This Row],[Référence]]&amp;"",Tbl_Catalogue[],4,FALSE)=0,"-",VLOOKUP(Tbl_Donnees[[#This Row],[Référence]]&amp;"",Tbl_Catalogue[],4,FALSE)),"-")</f>
        <v>Obsolète</v>
      </c>
      <c r="I240" s="2" t="str">
        <f>IFERROR(IF(VLOOKUP(Tbl_Donnees[[#This Row],[Référence]]&amp;"",Tbl_Catalogue[],5,FALSE)=0,"-",VLOOKUP(Tbl_Donnees[[#This Row],[Référence]]&amp;"",Tbl_Catalogue[],5,FALSE)),"INCONNU")</f>
        <v>OBSOLETE</v>
      </c>
      <c r="J240" s="3" t="str">
        <f>IFERROR(IF(VLOOKUP(Tbl_Donnees[[#This Row],[Référence]]&amp;"",Tbl_Catalogue[],6,FALSE)=0,"-",VLOOKUP(Tbl_Donnees[[#This Row],[Référence]]&amp;"",Tbl_Catalogue[],6,FALSE)),"-")</f>
        <v>-</v>
      </c>
      <c r="K240" s="2" t="str">
        <f>IFERROR(IF(VLOOKUP(Tbl_Donnees[[#This Row],[Référence]]&amp;"",Tbl_Catalogue[],7,FALSE)=0,"-",VLOOKUP(Tbl_Donnees[[#This Row],[Référence]]&amp;"",Tbl_Catalogue[],7,FALSE)),"-")</f>
        <v>INCONNU</v>
      </c>
      <c r="L240" s="5" t="str">
        <f>IFERROR(IF(VLOOKUP(Tbl_Donnees[[#This Row],[Référence]]&amp;"",Tbl_Catalogue[],10,FALSE)=0,"-",VLOOKUP(Tbl_Donnees[[#This Row],[Référence]]&amp;"",Tbl_Catalogue[],10,FALSE)),"-")</f>
        <v>-</v>
      </c>
      <c r="M240" s="2" t="str">
        <f>IFERROR(IF(VLOOKUP(Tbl_Donnees[[#This Row],[Référence]]&amp;"",Tbl_Catalogue[],8,FALSE)=0,"-",VLOOKUP(Tbl_Donnees[[#This Row],[Référence]]&amp;"",Tbl_Catalogue[],8,FALSE)),"-")</f>
        <v>-</v>
      </c>
      <c r="N240" s="5" t="str">
        <f>IFERROR(IF(VLOOKUP(Tbl_Donnees[[#This Row],[Référence]]&amp;"",Tbl_Catalogue[],9,FALSE)=0,"-",VLOOKUP(Tbl_Donnees[[#This Row],[Référence]]&amp;"",Tbl_Catalogue[],9,FALSE)),"-")</f>
        <v>-</v>
      </c>
      <c r="O240" s="5" t="str">
        <f>IFERROR(IF(VLOOKUP(Tbl_Donnees[[#This Row],[Référence]]&amp;"",Tbl_Catalogue[],11,FALSE)=0,"-",VLOOKUP(Tbl_Donnees[[#This Row],[Référence]]&amp;"",Tbl_Catalogue[],11,FALSE)),"-")</f>
        <v>-</v>
      </c>
      <c r="P240" s="2" t="str">
        <f>IFERROR(IF(VLOOKUP(Tbl_Donnees[[#This Row],[Référence]]&amp;"",Tbl_Catalogue[],12,FALSE)=0,"-",VLOOKUP(Tbl_Donnees[[#This Row],[Référence]]&amp;"",Tbl_Catalogue[],12,FALSE)),"-")</f>
        <v>-</v>
      </c>
      <c r="Q240" s="13" t="str">
        <f>IFERROR(IF(VLOOKUP(Tbl_Donnees[[#This Row],[Référence]]&amp;"",Tbl_Catalogue[],13,FALSE)=0,"-",VLOOKUP(Tbl_Donnees[[#This Row],[Référence]]&amp;"",Tbl_Catalogue[],13,FALSE)),"-")</f>
        <v>-</v>
      </c>
      <c r="R240" s="5"/>
    </row>
    <row r="241" spans="1:18" x14ac:dyDescent="0.2">
      <c r="A241" s="2" t="s">
        <v>357</v>
      </c>
      <c r="B241" s="5" t="s">
        <v>359</v>
      </c>
      <c r="C241" s="5" t="s">
        <v>60</v>
      </c>
      <c r="D241" s="6" t="str">
        <f>IFERROR(IF(VLOOKUP(Tbl_Donnees[[#This Row],[Référence]]&amp;"",Tbl_Catalogue[],3,FALSE)=0,"-",VLOOKUP(Tbl_Donnees[[#This Row],[Référence]]&amp;"",Tbl_Catalogue[],3,FALSE)),"-")</f>
        <v xml:space="preserve">CAPTEUR NIVEAU ELEC. </v>
      </c>
      <c r="E241" s="6">
        <v>2</v>
      </c>
      <c r="F241" s="6" t="str">
        <f>IFERROR(IF(VLOOKUP(Tbl_Donnees[[#This Row],[Référence]]&amp;"",Tbl_Catalogue[],2,FALSE)=0,"-",VLOOKUP(Tbl_Donnees[[#This Row],[Référence]]&amp;"",Tbl_Catalogue[],2,FALSE)),"-")</f>
        <v>IFM ELECTRONIC</v>
      </c>
      <c r="G241" s="20" t="s">
        <v>474</v>
      </c>
      <c r="H241" s="6" t="str">
        <f>IFERROR(IF(VLOOKUP(Tbl_Donnees[[#This Row],[Référence]]&amp;"",Tbl_Catalogue[],4,FALSE)=0,"-",VLOOKUP(Tbl_Donnees[[#This Row],[Référence]]&amp;"",Tbl_Catalogue[],4,FALSE)),"-")</f>
        <v>Produit Actif</v>
      </c>
      <c r="I241" s="2" t="str">
        <f>IFERROR(IF(VLOOKUP(Tbl_Donnees[[#This Row],[Référence]]&amp;"",Tbl_Catalogue[],5,FALSE)=0,"-",VLOOKUP(Tbl_Donnees[[#This Row],[Référence]]&amp;"",Tbl_Catalogue[],5,FALSE)),"INCONNU")</f>
        <v>ACTIF</v>
      </c>
      <c r="J241" s="3" t="str">
        <f>IFERROR(IF(VLOOKUP(Tbl_Donnees[[#This Row],[Référence]]&amp;"",Tbl_Catalogue[],6,FALSE)=0,"-",VLOOKUP(Tbl_Donnees[[#This Row],[Référence]]&amp;"",Tbl_Catalogue[],6,FALSE)),"-")</f>
        <v>https://www.ifm.com/fr/fr/product/LK1023?_gl=1*1rko3b2*_up*MQ..*_gs*MQ..&amp;gclid=Cj0KCQiA8KTNBhD_ARIsAOvp6DKm95djn6mG98N14l-M6ZNXlusU4pqMZbK-NlvAlwjFQAWiNHZ4AAIaAh5eEALw_wcB&amp;gbraid=0AAAAAo3RPPxikcmuxvsceib42wiHvdN_n</v>
      </c>
      <c r="K241" s="2" t="str">
        <f>IFERROR(IF(VLOOKUP(Tbl_Donnees[[#This Row],[Référence]]&amp;"",Tbl_Catalogue[],7,FALSE)=0,"-",VLOOKUP(Tbl_Donnees[[#This Row],[Référence]]&amp;"",Tbl_Catalogue[],7,FALSE)),"-")</f>
        <v>-</v>
      </c>
      <c r="L241" s="5" t="str">
        <f>IFERROR(IF(VLOOKUP(Tbl_Donnees[[#This Row],[Référence]]&amp;"",Tbl_Catalogue[],10,FALSE)=0,"-",VLOOKUP(Tbl_Donnees[[#This Row],[Référence]]&amp;"",Tbl_Catalogue[],10,FALSE)),"-")</f>
        <v>-</v>
      </c>
      <c r="M241" s="2" t="str">
        <f>IFERROR(IF(VLOOKUP(Tbl_Donnees[[#This Row],[Référence]]&amp;"",Tbl_Catalogue[],8,FALSE)=0,"-",VLOOKUP(Tbl_Donnees[[#This Row],[Référence]]&amp;"",Tbl_Catalogue[],8,FALSE)),"-")</f>
        <v>-</v>
      </c>
      <c r="N241" s="5" t="str">
        <f>IFERROR(IF(VLOOKUP(Tbl_Donnees[[#This Row],[Référence]]&amp;"",Tbl_Catalogue[],9,FALSE)=0,"-",VLOOKUP(Tbl_Donnees[[#This Row],[Référence]]&amp;"",Tbl_Catalogue[],9,FALSE)),"-")</f>
        <v>-</v>
      </c>
      <c r="O241" s="5" t="str">
        <f>IFERROR(IF(VLOOKUP(Tbl_Donnees[[#This Row],[Référence]]&amp;"",Tbl_Catalogue[],11,FALSE)=0,"-",VLOOKUP(Tbl_Donnees[[#This Row],[Référence]]&amp;"",Tbl_Catalogue[],11,FALSE)),"-")</f>
        <v>-</v>
      </c>
      <c r="P241" s="2" t="str">
        <f>IFERROR(IF(VLOOKUP(Tbl_Donnees[[#This Row],[Référence]]&amp;"",Tbl_Catalogue[],12,FALSE)=0,"-",VLOOKUP(Tbl_Donnees[[#This Row],[Référence]]&amp;"",Tbl_Catalogue[],12,FALSE)),"-")</f>
        <v>-</v>
      </c>
      <c r="Q241" s="13" t="str">
        <f>IFERROR(IF(VLOOKUP(Tbl_Donnees[[#This Row],[Référence]]&amp;"",Tbl_Catalogue[],13,FALSE)=0,"-",VLOOKUP(Tbl_Donnees[[#This Row],[Référence]]&amp;"",Tbl_Catalogue[],13,FALSE)),"-")</f>
        <v>-</v>
      </c>
      <c r="R241" s="2"/>
    </row>
    <row r="242" spans="1:18" x14ac:dyDescent="0.2">
      <c r="A242" s="2" t="s">
        <v>357</v>
      </c>
      <c r="B242" s="5" t="s">
        <v>359</v>
      </c>
      <c r="C242" s="5" t="s">
        <v>60</v>
      </c>
      <c r="D242" s="6" t="str">
        <f>IFERROR(IF(VLOOKUP(Tbl_Donnees[[#This Row],[Référence]]&amp;"",Tbl_Catalogue[],3,FALSE)=0,"-",VLOOKUP(Tbl_Donnees[[#This Row],[Référence]]&amp;"",Tbl_Catalogue[],3,FALSE)),"-")</f>
        <v xml:space="preserve">CAPOT CONNECTEUR M40 </v>
      </c>
      <c r="E242" s="6">
        <v>2</v>
      </c>
      <c r="F242" s="6" t="str">
        <f>IFERROR(IF(VLOOKUP(Tbl_Donnees[[#This Row],[Référence]]&amp;"",Tbl_Catalogue[],2,FALSE)=0,"-",VLOOKUP(Tbl_Donnees[[#This Row],[Référence]]&amp;"",Tbl_Catalogue[],2,FALSE)),"-")</f>
        <v>HARTING</v>
      </c>
      <c r="G242" s="20" t="s">
        <v>722</v>
      </c>
      <c r="H242" s="6" t="str">
        <f>IFERROR(IF(VLOOKUP(Tbl_Donnees[[#This Row],[Référence]]&amp;"",Tbl_Catalogue[],4,FALSE)=0,"-",VLOOKUP(Tbl_Donnees[[#This Row],[Référence]]&amp;"",Tbl_Catalogue[],4,FALSE)),"-")</f>
        <v>-</v>
      </c>
      <c r="I242" s="2" t="str">
        <f>IFERROR(IF(VLOOKUP(Tbl_Donnees[[#This Row],[Référence]]&amp;"",Tbl_Catalogue[],5,FALSE)=0,"-",VLOOKUP(Tbl_Donnees[[#This Row],[Référence]]&amp;"",Tbl_Catalogue[],5,FALSE)),"INCONNU")</f>
        <v>INCONNU</v>
      </c>
      <c r="J242" s="3" t="str">
        <f>IFERROR(IF(VLOOKUP(Tbl_Donnees[[#This Row],[Référence]]&amp;"",Tbl_Catalogue[],6,FALSE)=0,"-",VLOOKUP(Tbl_Donnees[[#This Row],[Référence]]&amp;"",Tbl_Catalogue[],6,FALSE)),"-")</f>
        <v>https://www.harting.com/fr-FR/p/Han-B-Hood-Side-Entry-HC-4-Pegs-M32-19300160527</v>
      </c>
      <c r="K242" s="2" t="str">
        <f>IFERROR(IF(VLOOKUP(Tbl_Donnees[[#This Row],[Référence]]&amp;"",Tbl_Catalogue[],7,FALSE)=0,"-",VLOOKUP(Tbl_Donnees[[#This Row],[Référence]]&amp;"",Tbl_Catalogue[],7,FALSE)),"-")</f>
        <v>INCONNU</v>
      </c>
      <c r="L242" s="5" t="str">
        <f>IFERROR(IF(VLOOKUP(Tbl_Donnees[[#This Row],[Référence]]&amp;"",Tbl_Catalogue[],10,FALSE)=0,"-",VLOOKUP(Tbl_Donnees[[#This Row],[Référence]]&amp;"",Tbl_Catalogue[],10,FALSE)),"-")</f>
        <v>-</v>
      </c>
      <c r="M242" s="2" t="str">
        <f>IFERROR(IF(VLOOKUP(Tbl_Donnees[[#This Row],[Référence]]&amp;"",Tbl_Catalogue[],8,FALSE)=0,"-",VLOOKUP(Tbl_Donnees[[#This Row],[Référence]]&amp;"",Tbl_Catalogue[],8,FALSE)),"-")</f>
        <v>-</v>
      </c>
      <c r="N242" s="5" t="str">
        <f>IFERROR(IF(VLOOKUP(Tbl_Donnees[[#This Row],[Référence]]&amp;"",Tbl_Catalogue[],9,FALSE)=0,"-",VLOOKUP(Tbl_Donnees[[#This Row],[Référence]]&amp;"",Tbl_Catalogue[],9,FALSE)),"-")</f>
        <v>-</v>
      </c>
      <c r="O242" s="5" t="str">
        <f>IFERROR(IF(VLOOKUP(Tbl_Donnees[[#This Row],[Référence]]&amp;"",Tbl_Catalogue[],11,FALSE)=0,"-",VLOOKUP(Tbl_Donnees[[#This Row],[Référence]]&amp;"",Tbl_Catalogue[],11,FALSE)),"-")</f>
        <v>-</v>
      </c>
      <c r="P242" s="2" t="str">
        <f>IFERROR(IF(VLOOKUP(Tbl_Donnees[[#This Row],[Référence]]&amp;"",Tbl_Catalogue[],12,FALSE)=0,"-",VLOOKUP(Tbl_Donnees[[#This Row],[Référence]]&amp;"",Tbl_Catalogue[],12,FALSE)),"-")</f>
        <v>-</v>
      </c>
      <c r="Q242" s="13" t="str">
        <f>IFERROR(IF(VLOOKUP(Tbl_Donnees[[#This Row],[Référence]]&amp;"",Tbl_Catalogue[],13,FALSE)=0,"-",VLOOKUP(Tbl_Donnees[[#This Row],[Référence]]&amp;"",Tbl_Catalogue[],13,FALSE)),"-")</f>
        <v>-</v>
      </c>
      <c r="R242" s="2"/>
    </row>
    <row r="243" spans="1:18" x14ac:dyDescent="0.2">
      <c r="A243" s="2" t="s">
        <v>357</v>
      </c>
      <c r="B243" s="5" t="s">
        <v>359</v>
      </c>
      <c r="C243" s="5" t="s">
        <v>60</v>
      </c>
      <c r="D243" s="6" t="str">
        <f>IFERROR(IF(VLOOKUP(Tbl_Donnees[[#This Row],[Référence]]&amp;"",Tbl_Catalogue[],3,FALSE)=0,"-",VLOOKUP(Tbl_Donnees[[#This Row],[Référence]]&amp;"",Tbl_Catalogue[],3,FALSE)),"-")</f>
        <v>VAR. VITESSE YUKONDRIVE</v>
      </c>
      <c r="E243" s="6">
        <v>1</v>
      </c>
      <c r="F243" s="6" t="str">
        <f>IFERROR(IF(VLOOKUP(Tbl_Donnees[[#This Row],[Référence]]&amp;"",Tbl_Catalogue[],2,FALSE)=0,"-",VLOOKUP(Tbl_Donnees[[#This Row],[Référence]]&amp;"",Tbl_Catalogue[],2,FALSE)),"-")</f>
        <v>HARMONIC DRIVE AG</v>
      </c>
      <c r="G243" s="20" t="s">
        <v>721</v>
      </c>
      <c r="H243" s="6" t="str">
        <f>IFERROR(IF(VLOOKUP(Tbl_Donnees[[#This Row],[Référence]]&amp;"",Tbl_Catalogue[],4,FALSE)=0,"-",VLOOKUP(Tbl_Donnees[[#This Row],[Référence]]&amp;"",Tbl_Catalogue[],4,FALSE)),"-")</f>
        <v>Produit Actif</v>
      </c>
      <c r="I243" s="2" t="str">
        <f>IFERROR(IF(VLOOKUP(Tbl_Donnees[[#This Row],[Référence]]&amp;"",Tbl_Catalogue[],5,FALSE)=0,"-",VLOOKUP(Tbl_Donnees[[#This Row],[Référence]]&amp;"",Tbl_Catalogue[],5,FALSE)),"INCONNU")</f>
        <v>ACTIF</v>
      </c>
      <c r="J243" s="3" t="str">
        <f>IFERROR(IF(VLOOKUP(Tbl_Donnees[[#This Row],[Référence]]&amp;"",Tbl_Catalogue[],6,FALSE)=0,"-",VLOOKUP(Tbl_Donnees[[#This Row],[Référence]]&amp;"",Tbl_Catalogue[],6,FALSE)),"-")</f>
        <v>https://harmonicdrive.de/en/products/servo-controllers/yukondrive#downloads</v>
      </c>
      <c r="K243" s="2" t="str">
        <f>IFERROR(IF(VLOOKUP(Tbl_Donnees[[#This Row],[Référence]]&amp;"",Tbl_Catalogue[],7,FALSE)=0,"-",VLOOKUP(Tbl_Donnees[[#This Row],[Référence]]&amp;"",Tbl_Catalogue[],7,FALSE)),"-")</f>
        <v>-</v>
      </c>
      <c r="L243" s="5" t="str">
        <f>IFERROR(IF(VLOOKUP(Tbl_Donnees[[#This Row],[Référence]]&amp;"",Tbl_Catalogue[],10,FALSE)=0,"-",VLOOKUP(Tbl_Donnees[[#This Row],[Référence]]&amp;"",Tbl_Catalogue[],10,FALSE)),"-")</f>
        <v>-</v>
      </c>
      <c r="M243" s="2" t="str">
        <f>IFERROR(IF(VLOOKUP(Tbl_Donnees[[#This Row],[Référence]]&amp;"",Tbl_Catalogue[],8,FALSE)=0,"-",VLOOKUP(Tbl_Donnees[[#This Row],[Référence]]&amp;"",Tbl_Catalogue[],8,FALSE)),"-")</f>
        <v>-</v>
      </c>
      <c r="N243" s="5" t="str">
        <f>IFERROR(IF(VLOOKUP(Tbl_Donnees[[#This Row],[Référence]]&amp;"",Tbl_Catalogue[],9,FALSE)=0,"-",VLOOKUP(Tbl_Donnees[[#This Row],[Référence]]&amp;"",Tbl_Catalogue[],9,FALSE)),"-")</f>
        <v>-</v>
      </c>
      <c r="O243" s="5" t="str">
        <f>IFERROR(IF(VLOOKUP(Tbl_Donnees[[#This Row],[Référence]]&amp;"",Tbl_Catalogue[],11,FALSE)=0,"-",VLOOKUP(Tbl_Donnees[[#This Row],[Référence]]&amp;"",Tbl_Catalogue[],11,FALSE)),"-")</f>
        <v>-</v>
      </c>
      <c r="P243" s="2" t="str">
        <f>IFERROR(IF(VLOOKUP(Tbl_Donnees[[#This Row],[Référence]]&amp;"",Tbl_Catalogue[],12,FALSE)=0,"-",VLOOKUP(Tbl_Donnees[[#This Row],[Référence]]&amp;"",Tbl_Catalogue[],12,FALSE)),"-")</f>
        <v>-</v>
      </c>
      <c r="Q243" s="13" t="str">
        <f>IFERROR(IF(VLOOKUP(Tbl_Donnees[[#This Row],[Référence]]&amp;"",Tbl_Catalogue[],13,FALSE)=0,"-",VLOOKUP(Tbl_Donnees[[#This Row],[Référence]]&amp;"",Tbl_Catalogue[],13,FALSE)),"-")</f>
        <v>-</v>
      </c>
      <c r="R243" s="5"/>
    </row>
    <row r="244" spans="1:18" x14ac:dyDescent="0.2">
      <c r="A244" s="2" t="s">
        <v>357</v>
      </c>
      <c r="B244" s="5" t="s">
        <v>359</v>
      </c>
      <c r="C244" s="5" t="s">
        <v>60</v>
      </c>
      <c r="D244" s="6" t="str">
        <f>IFERROR(IF(VLOOKUP(Tbl_Donnees[[#This Row],[Référence]]&amp;"",Tbl_Catalogue[],3,FALSE)=0,"-",VLOOKUP(Tbl_Donnees[[#This Row],[Référence]]&amp;"",Tbl_Catalogue[],3,FALSE)),"-")</f>
        <v>INTERRUPTEUR SECURITE TZ</v>
      </c>
      <c r="E244" s="6">
        <v>1</v>
      </c>
      <c r="F244" s="6" t="str">
        <f>IFERROR(IF(VLOOKUP(Tbl_Donnees[[#This Row],[Référence]]&amp;"",Tbl_Catalogue[],2,FALSE)=0,"-",VLOOKUP(Tbl_Donnees[[#This Row],[Référence]]&amp;"",Tbl_Catalogue[],2,FALSE)),"-")</f>
        <v>EUCHNER</v>
      </c>
      <c r="G244" s="20" t="s">
        <v>466</v>
      </c>
      <c r="H244" s="6" t="str">
        <f>IFERROR(IF(VLOOKUP(Tbl_Donnees[[#This Row],[Référence]]&amp;"",Tbl_Catalogue[],4,FALSE)=0,"-",VLOOKUP(Tbl_Donnees[[#This Row],[Référence]]&amp;"",Tbl_Catalogue[],4,FALSE)),"-")</f>
        <v>-</v>
      </c>
      <c r="I244" s="2" t="str">
        <f>IFERROR(IF(VLOOKUP(Tbl_Donnees[[#This Row],[Référence]]&amp;"",Tbl_Catalogue[],5,FALSE)=0,"-",VLOOKUP(Tbl_Donnees[[#This Row],[Référence]]&amp;"",Tbl_Catalogue[],5,FALSE)),"INCONNU")</f>
        <v>INCONNU</v>
      </c>
      <c r="J244" s="3" t="str">
        <f>IFERROR(IF(VLOOKUP(Tbl_Donnees[[#This Row],[Référence]]&amp;"",Tbl_Catalogue[],6,FALSE)=0,"-",VLOOKUP(Tbl_Donnees[[#This Row],[Référence]]&amp;"",Tbl_Catalogue[],6,FALSE)),"-")</f>
        <v>https://www.euchner-usa.com/en-us/a/082051/</v>
      </c>
      <c r="K244" s="2" t="str">
        <f>IFERROR(IF(VLOOKUP(Tbl_Donnees[[#This Row],[Référence]]&amp;"",Tbl_Catalogue[],7,FALSE)=0,"-",VLOOKUP(Tbl_Donnees[[#This Row],[Référence]]&amp;"",Tbl_Catalogue[],7,FALSE)),"-")</f>
        <v>INCONNU</v>
      </c>
      <c r="L244" s="5" t="str">
        <f>IFERROR(IF(VLOOKUP(Tbl_Donnees[[#This Row],[Référence]]&amp;"",Tbl_Catalogue[],10,FALSE)=0,"-",VLOOKUP(Tbl_Donnees[[#This Row],[Référence]]&amp;"",Tbl_Catalogue[],10,FALSE)),"-")</f>
        <v>-</v>
      </c>
      <c r="M244" s="2" t="str">
        <f>IFERROR(IF(VLOOKUP(Tbl_Donnees[[#This Row],[Référence]]&amp;"",Tbl_Catalogue[],8,FALSE)=0,"-",VLOOKUP(Tbl_Donnees[[#This Row],[Référence]]&amp;"",Tbl_Catalogue[],8,FALSE)),"-")</f>
        <v>-</v>
      </c>
      <c r="N244" s="5" t="str">
        <f>IFERROR(IF(VLOOKUP(Tbl_Donnees[[#This Row],[Référence]]&amp;"",Tbl_Catalogue[],9,FALSE)=0,"-",VLOOKUP(Tbl_Donnees[[#This Row],[Référence]]&amp;"",Tbl_Catalogue[],9,FALSE)),"-")</f>
        <v>-</v>
      </c>
      <c r="O244" s="5" t="str">
        <f>IFERROR(IF(VLOOKUP(Tbl_Donnees[[#This Row],[Référence]]&amp;"",Tbl_Catalogue[],11,FALSE)=0,"-",VLOOKUP(Tbl_Donnees[[#This Row],[Référence]]&amp;"",Tbl_Catalogue[],11,FALSE)),"-")</f>
        <v>-</v>
      </c>
      <c r="P244" s="2" t="str">
        <f>IFERROR(IF(VLOOKUP(Tbl_Donnees[[#This Row],[Référence]]&amp;"",Tbl_Catalogue[],12,FALSE)=0,"-",VLOOKUP(Tbl_Donnees[[#This Row],[Référence]]&amp;"",Tbl_Catalogue[],12,FALSE)),"-")</f>
        <v>-</v>
      </c>
      <c r="Q244" s="13" t="str">
        <f>IFERROR(IF(VLOOKUP(Tbl_Donnees[[#This Row],[Référence]]&amp;"",Tbl_Catalogue[],13,FALSE)=0,"-",VLOOKUP(Tbl_Donnees[[#This Row],[Référence]]&amp;"",Tbl_Catalogue[],13,FALSE)),"-")</f>
        <v>-</v>
      </c>
      <c r="R244" s="2"/>
    </row>
    <row r="245" spans="1:18" x14ac:dyDescent="0.2">
      <c r="A245" s="2" t="s">
        <v>357</v>
      </c>
      <c r="B245" s="5" t="s">
        <v>359</v>
      </c>
      <c r="C245" s="5" t="s">
        <v>60</v>
      </c>
      <c r="D245" s="6" t="str">
        <f>IFERROR(IF(VLOOKUP(Tbl_Donnees[[#This Row],[Référence]]&amp;"",Tbl_Catalogue[],3,FALSE)=0,"-",VLOOKUP(Tbl_Donnees[[#This Row],[Référence]]&amp;"",Tbl_Catalogue[],3,FALSE)),"-")</f>
        <v>ELECTROVANNE COAXIALE</v>
      </c>
      <c r="E245" s="6">
        <v>1</v>
      </c>
      <c r="F245" s="6" t="str">
        <f>IFERROR(IF(VLOOKUP(Tbl_Donnees[[#This Row],[Référence]]&amp;"",Tbl_Catalogue[],2,FALSE)=0,"-",VLOOKUP(Tbl_Donnees[[#This Row],[Référence]]&amp;"",Tbl_Catalogue[],2,FALSE)),"-")</f>
        <v>EMERSON (AVENTICS)</v>
      </c>
      <c r="G245" s="20" t="s">
        <v>719</v>
      </c>
      <c r="H245" s="6" t="str">
        <f>IFERROR(IF(VLOOKUP(Tbl_Donnees[[#This Row],[Référence]]&amp;"",Tbl_Catalogue[],4,FALSE)=0,"-",VLOOKUP(Tbl_Donnees[[#This Row],[Référence]]&amp;"",Tbl_Catalogue[],4,FALSE)),"-")</f>
        <v>-</v>
      </c>
      <c r="I245" s="2" t="str">
        <f>IFERROR(IF(VLOOKUP(Tbl_Donnees[[#This Row],[Référence]]&amp;"",Tbl_Catalogue[],5,FALSE)=0,"-",VLOOKUP(Tbl_Donnees[[#This Row],[Référence]]&amp;"",Tbl_Catalogue[],5,FALSE)),"INCONNU")</f>
        <v>INCONNU</v>
      </c>
      <c r="J245" s="3" t="str">
        <f>IFERROR(IF(VLOOKUP(Tbl_Donnees[[#This Row],[Référence]]&amp;"",Tbl_Catalogue[],6,FALSE)=0,"-",VLOOKUP(Tbl_Donnees[[#This Row],[Référence]]&amp;"",Tbl_Catalogue[],6,FALSE)),"-")</f>
        <v>-</v>
      </c>
      <c r="K245" s="2" t="str">
        <f>IFERROR(IF(VLOOKUP(Tbl_Donnees[[#This Row],[Référence]]&amp;"",Tbl_Catalogue[],7,FALSE)=0,"-",VLOOKUP(Tbl_Donnees[[#This Row],[Référence]]&amp;"",Tbl_Catalogue[],7,FALSE)),"-")</f>
        <v>INCONNU</v>
      </c>
      <c r="L245" s="5" t="str">
        <f>IFERROR(IF(VLOOKUP(Tbl_Donnees[[#This Row],[Référence]]&amp;"",Tbl_Catalogue[],10,FALSE)=0,"-",VLOOKUP(Tbl_Donnees[[#This Row],[Référence]]&amp;"",Tbl_Catalogue[],10,FALSE)),"-")</f>
        <v>-</v>
      </c>
      <c r="M245" s="2" t="str">
        <f>IFERROR(IF(VLOOKUP(Tbl_Donnees[[#This Row],[Référence]]&amp;"",Tbl_Catalogue[],8,FALSE)=0,"-",VLOOKUP(Tbl_Donnees[[#This Row],[Référence]]&amp;"",Tbl_Catalogue[],8,FALSE)),"-")</f>
        <v>-</v>
      </c>
      <c r="N245" s="5" t="str">
        <f>IFERROR(IF(VLOOKUP(Tbl_Donnees[[#This Row],[Référence]]&amp;"",Tbl_Catalogue[],9,FALSE)=0,"-",VLOOKUP(Tbl_Donnees[[#This Row],[Référence]]&amp;"",Tbl_Catalogue[],9,FALSE)),"-")</f>
        <v>-</v>
      </c>
      <c r="O245" s="5" t="str">
        <f>IFERROR(IF(VLOOKUP(Tbl_Donnees[[#This Row],[Référence]]&amp;"",Tbl_Catalogue[],11,FALSE)=0,"-",VLOOKUP(Tbl_Donnees[[#This Row],[Référence]]&amp;"",Tbl_Catalogue[],11,FALSE)),"-")</f>
        <v>-</v>
      </c>
      <c r="P245" s="2" t="str">
        <f>IFERROR(IF(VLOOKUP(Tbl_Donnees[[#This Row],[Référence]]&amp;"",Tbl_Catalogue[],12,FALSE)=0,"-",VLOOKUP(Tbl_Donnees[[#This Row],[Référence]]&amp;"",Tbl_Catalogue[],12,FALSE)),"-")</f>
        <v>-</v>
      </c>
      <c r="Q245" s="13" t="str">
        <f>IFERROR(IF(VLOOKUP(Tbl_Donnees[[#This Row],[Référence]]&amp;"",Tbl_Catalogue[],13,FALSE)=0,"-",VLOOKUP(Tbl_Donnees[[#This Row],[Référence]]&amp;"",Tbl_Catalogue[],13,FALSE)),"-")</f>
        <v>-</v>
      </c>
      <c r="R245" s="5"/>
    </row>
    <row r="246" spans="1:18" x14ac:dyDescent="0.2">
      <c r="A246" s="2" t="s">
        <v>357</v>
      </c>
      <c r="B246" s="5" t="s">
        <v>359</v>
      </c>
      <c r="C246" s="5" t="s">
        <v>60</v>
      </c>
      <c r="D246" s="6" t="str">
        <f>IFERROR(IF(VLOOKUP(Tbl_Donnees[[#This Row],[Référence]]&amp;"",Tbl_Catalogue[],3,FALSE)=0,"-",VLOOKUP(Tbl_Donnees[[#This Row],[Référence]]&amp;"",Tbl_Catalogue[],3,FALSE)),"-")</f>
        <v>BOITIER CONTROLE ELEC.</v>
      </c>
      <c r="E246" s="6">
        <v>1</v>
      </c>
      <c r="F246" s="6" t="str">
        <f>IFERROR(IF(VLOOKUP(Tbl_Donnees[[#This Row],[Référence]]&amp;"",Tbl_Catalogue[],2,FALSE)=0,"-",VLOOKUP(Tbl_Donnees[[#This Row],[Référence]]&amp;"",Tbl_Catalogue[],2,FALSE)),"-")</f>
        <v>DETECTOR FRANCE</v>
      </c>
      <c r="G246" s="20" t="s">
        <v>14</v>
      </c>
      <c r="H246" s="6" t="str">
        <f>IFERROR(IF(VLOOKUP(Tbl_Donnees[[#This Row],[Référence]]&amp;"",Tbl_Catalogue[],4,FALSE)=0,"-",VLOOKUP(Tbl_Donnees[[#This Row],[Référence]]&amp;"",Tbl_Catalogue[],4,FALSE)),"-")</f>
        <v>INCONNU</v>
      </c>
      <c r="I246" s="2" t="str">
        <f>IFERROR(IF(VLOOKUP(Tbl_Donnees[[#This Row],[Référence]]&amp;"",Tbl_Catalogue[],5,FALSE)=0,"-",VLOOKUP(Tbl_Donnees[[#This Row],[Référence]]&amp;"",Tbl_Catalogue[],5,FALSE)),"INCONNU")</f>
        <v>INCONNU</v>
      </c>
      <c r="J246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246" s="2" t="str">
        <f>IFERROR(IF(VLOOKUP(Tbl_Donnees[[#This Row],[Référence]]&amp;"",Tbl_Catalogue[],7,FALSE)=0,"-",VLOOKUP(Tbl_Donnees[[#This Row],[Référence]]&amp;"",Tbl_Catalogue[],7,FALSE)),"-")</f>
        <v>OUI</v>
      </c>
      <c r="L246" s="5" t="str">
        <f>IFERROR(IF(VLOOKUP(Tbl_Donnees[[#This Row],[Référence]]&amp;"",Tbl_Catalogue[],10,FALSE)=0,"-",VLOOKUP(Tbl_Donnees[[#This Row],[Référence]]&amp;"",Tbl_Catalogue[],10,FALSE)),"-")</f>
        <v>-</v>
      </c>
      <c r="M246" s="2" t="str">
        <f>IFERROR(IF(VLOOKUP(Tbl_Donnees[[#This Row],[Référence]]&amp;"",Tbl_Catalogue[],8,FALSE)=0,"-",VLOOKUP(Tbl_Donnees[[#This Row],[Référence]]&amp;"",Tbl_Catalogue[],8,FALSE)),"-")</f>
        <v>ETC1+CDTPC2</v>
      </c>
      <c r="N246" s="5" t="str">
        <f>IFERROR(IF(VLOOKUP(Tbl_Donnees[[#This Row],[Référence]]&amp;"",Tbl_Catalogue[],9,FALSE)=0,"-",VLOOKUP(Tbl_Donnees[[#This Row],[Référence]]&amp;"",Tbl_Catalogue[],9,FALSE)),"-")</f>
        <v>DETECTOR FRANCE</v>
      </c>
      <c r="O246" s="5" t="str">
        <f>IFERROR(IF(VLOOKUP(Tbl_Donnees[[#This Row],[Référence]]&amp;"",Tbl_Catalogue[],11,FALSE)=0,"-",VLOOKUP(Tbl_Donnees[[#This Row],[Référence]]&amp;"",Tbl_Catalogue[],11,FALSE)),"-")</f>
        <v>-</v>
      </c>
      <c r="P246" s="2" t="str">
        <f>IFERROR(IF(VLOOKUP(Tbl_Donnees[[#This Row],[Référence]]&amp;"",Tbl_Catalogue[],12,FALSE)=0,"-",VLOOKUP(Tbl_Donnees[[#This Row],[Référence]]&amp;"",Tbl_Catalogue[],12,FALSE)),"-")</f>
        <v>INCONNU</v>
      </c>
      <c r="Q246" s="13" t="str">
        <f>IFERROR(IF(VLOOKUP(Tbl_Donnees[[#This Row],[Référence]]&amp;"",Tbl_Catalogue[],13,FALSE)=0,"-",VLOOKUP(Tbl_Donnees[[#This Row],[Référence]]&amp;"",Tbl_Catalogue[],13,FALSE)),"-")</f>
        <v>https://detector-france.com/produits/ecran-tactile-etc1-cdt-pc2/</v>
      </c>
      <c r="R246" s="5"/>
    </row>
    <row r="247" spans="1:18" x14ac:dyDescent="0.2">
      <c r="A247" s="2" t="s">
        <v>357</v>
      </c>
      <c r="B247" s="5" t="s">
        <v>359</v>
      </c>
      <c r="C247" s="5" t="s">
        <v>60</v>
      </c>
      <c r="D247" s="6" t="str">
        <f>IFERROR(IF(VLOOKUP(Tbl_Donnees[[#This Row],[Référence]]&amp;"",Tbl_Catalogue[],3,FALSE)=0,"-",VLOOKUP(Tbl_Donnees[[#This Row],[Référence]]&amp;"",Tbl_Catalogue[],3,FALSE)),"-")</f>
        <v>REGLE MESURE LONGUEUR</v>
      </c>
      <c r="E247" s="6">
        <v>1</v>
      </c>
      <c r="F247" s="6" t="str">
        <f>IFERROR(IF(VLOOKUP(Tbl_Donnees[[#This Row],[Référence]]&amp;"",Tbl_Catalogue[],2,FALSE)=0,"-",VLOOKUP(Tbl_Donnees[[#This Row],[Référence]]&amp;"",Tbl_Catalogue[],2,FALSE)),"-")</f>
        <v>DETECTOR FRANCE</v>
      </c>
      <c r="G247" s="20" t="s">
        <v>12</v>
      </c>
      <c r="H247" s="6" t="str">
        <f>IFERROR(IF(VLOOKUP(Tbl_Donnees[[#This Row],[Référence]]&amp;"",Tbl_Catalogue[],4,FALSE)=0,"-",VLOOKUP(Tbl_Donnees[[#This Row],[Référence]]&amp;"",Tbl_Catalogue[],4,FALSE)),"-")</f>
        <v>Produit actif</v>
      </c>
      <c r="I247" s="2" t="str">
        <f>IFERROR(IF(VLOOKUP(Tbl_Donnees[[#This Row],[Référence]]&amp;"",Tbl_Catalogue[],5,FALSE)=0,"-",VLOOKUP(Tbl_Donnees[[#This Row],[Référence]]&amp;"",Tbl_Catalogue[],5,FALSE)),"INCONNU")</f>
        <v>ACTIF</v>
      </c>
      <c r="J247" s="3" t="str">
        <f>IFERROR(IF(VLOOKUP(Tbl_Donnees[[#This Row],[Référence]]&amp;"",Tbl_Catalogue[],6,FALSE)=0,"-",VLOOKUP(Tbl_Donnees[[#This Row],[Référence]]&amp;"",Tbl_Catalogue[],6,FALSE)),"-")</f>
        <v>https://detector-france.com/produits/mesureur-longueur/h00/</v>
      </c>
      <c r="K247" s="2" t="str">
        <f>IFERROR(IF(VLOOKUP(Tbl_Donnees[[#This Row],[Référence]]&amp;"",Tbl_Catalogue[],7,FALSE)=0,"-",VLOOKUP(Tbl_Donnees[[#This Row],[Référence]]&amp;"",Tbl_Catalogue[],7,FALSE)),"-")</f>
        <v>-</v>
      </c>
      <c r="L247" s="5" t="str">
        <f>IFERROR(IF(VLOOKUP(Tbl_Donnees[[#This Row],[Référence]]&amp;"",Tbl_Catalogue[],10,FALSE)=0,"-",VLOOKUP(Tbl_Donnees[[#This Row],[Référence]]&amp;"",Tbl_Catalogue[],10,FALSE)),"-")</f>
        <v>-</v>
      </c>
      <c r="M247" s="2" t="str">
        <f>IFERROR(IF(VLOOKUP(Tbl_Donnees[[#This Row],[Référence]]&amp;"",Tbl_Catalogue[],8,FALSE)=0,"-",VLOOKUP(Tbl_Donnees[[#This Row],[Référence]]&amp;"",Tbl_Catalogue[],8,FALSE)),"-")</f>
        <v>-</v>
      </c>
      <c r="N247" s="5" t="str">
        <f>IFERROR(IF(VLOOKUP(Tbl_Donnees[[#This Row],[Référence]]&amp;"",Tbl_Catalogue[],9,FALSE)=0,"-",VLOOKUP(Tbl_Donnees[[#This Row],[Référence]]&amp;"",Tbl_Catalogue[],9,FALSE)),"-")</f>
        <v>-</v>
      </c>
      <c r="O247" s="5" t="str">
        <f>IFERROR(IF(VLOOKUP(Tbl_Donnees[[#This Row],[Référence]]&amp;"",Tbl_Catalogue[],11,FALSE)=0,"-",VLOOKUP(Tbl_Donnees[[#This Row],[Référence]]&amp;"",Tbl_Catalogue[],11,FALSE)),"-")</f>
        <v>-</v>
      </c>
      <c r="P247" s="2" t="str">
        <f>IFERROR(IF(VLOOKUP(Tbl_Donnees[[#This Row],[Référence]]&amp;"",Tbl_Catalogue[],12,FALSE)=0,"-",VLOOKUP(Tbl_Donnees[[#This Row],[Référence]]&amp;"",Tbl_Catalogue[],12,FALSE)),"-")</f>
        <v>-</v>
      </c>
      <c r="Q247" s="13" t="str">
        <f>IFERROR(IF(VLOOKUP(Tbl_Donnees[[#This Row],[Référence]]&amp;"",Tbl_Catalogue[],13,FALSE)=0,"-",VLOOKUP(Tbl_Donnees[[#This Row],[Référence]]&amp;"",Tbl_Catalogue[],13,FALSE)),"-")</f>
        <v>-</v>
      </c>
      <c r="R247" s="2"/>
    </row>
    <row r="248" spans="1:18" x14ac:dyDescent="0.2">
      <c r="A248" s="2" t="s">
        <v>357</v>
      </c>
      <c r="B248" s="5" t="s">
        <v>359</v>
      </c>
      <c r="C248" s="5" t="s">
        <v>60</v>
      </c>
      <c r="D248" s="6" t="str">
        <f>IFERROR(IF(VLOOKUP(Tbl_Donnees[[#This Row],[Référence]]&amp;"",Tbl_Catalogue[],3,FALSE)=0,"-",VLOOKUP(Tbl_Donnees[[#This Row],[Référence]]&amp;"",Tbl_Catalogue[],3,FALSE)),"-")</f>
        <v>VANNE COAXIALE 2/2</v>
      </c>
      <c r="E248" s="6">
        <v>1</v>
      </c>
      <c r="F248" s="6" t="str">
        <f>IFERROR(IF(VLOOKUP(Tbl_Donnees[[#This Row],[Référence]]&amp;"",Tbl_Catalogue[],2,FALSE)=0,"-",VLOOKUP(Tbl_Donnees[[#This Row],[Référence]]&amp;"",Tbl_Catalogue[],2,FALSE)),"-")</f>
        <v>COAX</v>
      </c>
      <c r="G248" s="20" t="s">
        <v>482</v>
      </c>
      <c r="H248" s="6" t="str">
        <f>IFERROR(IF(VLOOKUP(Tbl_Donnees[[#This Row],[Référence]]&amp;"",Tbl_Catalogue[],4,FALSE)=0,"-",VLOOKUP(Tbl_Donnees[[#This Row],[Référence]]&amp;"",Tbl_Catalogue[],4,FALSE)),"-")</f>
        <v>-</v>
      </c>
      <c r="I248" s="2" t="str">
        <f>IFERROR(IF(VLOOKUP(Tbl_Donnees[[#This Row],[Référence]]&amp;"",Tbl_Catalogue[],5,FALSE)=0,"-",VLOOKUP(Tbl_Donnees[[#This Row],[Référence]]&amp;"",Tbl_Catalogue[],5,FALSE)),"INCONNU")</f>
        <v>INCONNU</v>
      </c>
      <c r="J248" s="3" t="str">
        <f>IFERROR(IF(VLOOKUP(Tbl_Donnees[[#This Row],[Référence]]&amp;"",Tbl_Catalogue[],6,FALSE)=0,"-",VLOOKUP(Tbl_Donnees[[#This Row],[Référence]]&amp;"",Tbl_Catalogue[],6,FALSE)),"-")</f>
        <v>https://co-ax.com/fr/vannes-coaxiales-a-2-2-voies-a-commande-externe/vk15.php</v>
      </c>
      <c r="K248" s="2" t="str">
        <f>IFERROR(IF(VLOOKUP(Tbl_Donnees[[#This Row],[Référence]]&amp;"",Tbl_Catalogue[],7,FALSE)=0,"-",VLOOKUP(Tbl_Donnees[[#This Row],[Référence]]&amp;"",Tbl_Catalogue[],7,FALSE)),"-")</f>
        <v>INCONNU</v>
      </c>
      <c r="L248" s="5" t="str">
        <f>IFERROR(IF(VLOOKUP(Tbl_Donnees[[#This Row],[Référence]]&amp;"",Tbl_Catalogue[],10,FALSE)=0,"-",VLOOKUP(Tbl_Donnees[[#This Row],[Référence]]&amp;"",Tbl_Catalogue[],10,FALSE)),"-")</f>
        <v>-</v>
      </c>
      <c r="M248" s="2" t="str">
        <f>IFERROR(IF(VLOOKUP(Tbl_Donnees[[#This Row],[Référence]]&amp;"",Tbl_Catalogue[],8,FALSE)=0,"-",VLOOKUP(Tbl_Donnees[[#This Row],[Référence]]&amp;"",Tbl_Catalogue[],8,FALSE)),"-")</f>
        <v>-</v>
      </c>
      <c r="N248" s="5" t="str">
        <f>IFERROR(IF(VLOOKUP(Tbl_Donnees[[#This Row],[Référence]]&amp;"",Tbl_Catalogue[],9,FALSE)=0,"-",VLOOKUP(Tbl_Donnees[[#This Row],[Référence]]&amp;"",Tbl_Catalogue[],9,FALSE)),"-")</f>
        <v>-</v>
      </c>
      <c r="O248" s="5" t="str">
        <f>IFERROR(IF(VLOOKUP(Tbl_Donnees[[#This Row],[Référence]]&amp;"",Tbl_Catalogue[],11,FALSE)=0,"-",VLOOKUP(Tbl_Donnees[[#This Row],[Référence]]&amp;"",Tbl_Catalogue[],11,FALSE)),"-")</f>
        <v>-</v>
      </c>
      <c r="P248" s="2" t="str">
        <f>IFERROR(IF(VLOOKUP(Tbl_Donnees[[#This Row],[Référence]]&amp;"",Tbl_Catalogue[],12,FALSE)=0,"-",VLOOKUP(Tbl_Donnees[[#This Row],[Référence]]&amp;"",Tbl_Catalogue[],12,FALSE)),"-")</f>
        <v>-</v>
      </c>
      <c r="Q248" s="13" t="str">
        <f>IFERROR(IF(VLOOKUP(Tbl_Donnees[[#This Row],[Référence]]&amp;"",Tbl_Catalogue[],13,FALSE)=0,"-",VLOOKUP(Tbl_Donnees[[#This Row],[Référence]]&amp;"",Tbl_Catalogue[],13,FALSE)),"-")</f>
        <v>-</v>
      </c>
      <c r="R248" s="5"/>
    </row>
    <row r="249" spans="1:18" x14ac:dyDescent="0.2">
      <c r="A249" s="2" t="s">
        <v>357</v>
      </c>
      <c r="B249" s="5" t="s">
        <v>359</v>
      </c>
      <c r="C249" s="5" t="s">
        <v>60</v>
      </c>
      <c r="D249" s="6" t="str">
        <f>IFERROR(IF(VLOOKUP(Tbl_Donnees[[#This Row],[Référence]]&amp;"",Tbl_Catalogue[],3,FALSE)=0,"-",VLOOKUP(Tbl_Donnees[[#This Row],[Référence]]&amp;"",Tbl_Catalogue[],3,FALSE)),"-")</f>
        <v>BOBINE ELECTROVANNE</v>
      </c>
      <c r="E249" s="6">
        <v>1</v>
      </c>
      <c r="F249" s="6" t="str">
        <f>IFERROR(IF(VLOOKUP(Tbl_Donnees[[#This Row],[Référence]]&amp;"",Tbl_Catalogue[],2,FALSE)=0,"-",VLOOKUP(Tbl_Donnees[[#This Row],[Référence]]&amp;"",Tbl_Catalogue[],2,FALSE)),"-")</f>
        <v>COAX</v>
      </c>
      <c r="G249" s="20" t="s">
        <v>718</v>
      </c>
      <c r="H249" s="6" t="str">
        <f>IFERROR(IF(VLOOKUP(Tbl_Donnees[[#This Row],[Référence]]&amp;"",Tbl_Catalogue[],4,FALSE)=0,"-",VLOOKUP(Tbl_Donnees[[#This Row],[Référence]]&amp;"",Tbl_Catalogue[],4,FALSE)),"-")</f>
        <v>-</v>
      </c>
      <c r="I249" s="2" t="str">
        <f>IFERROR(IF(VLOOKUP(Tbl_Donnees[[#This Row],[Référence]]&amp;"",Tbl_Catalogue[],5,FALSE)=0,"-",VLOOKUP(Tbl_Donnees[[#This Row],[Référence]]&amp;"",Tbl_Catalogue[],5,FALSE)),"INCONNU")</f>
        <v>INCONNU</v>
      </c>
      <c r="J249" s="3" t="str">
        <f>IFERROR(IF(VLOOKUP(Tbl_Donnees[[#This Row],[Référence]]&amp;"",Tbl_Catalogue[],6,FALSE)=0,"-",VLOOKUP(Tbl_Donnees[[#This Row],[Référence]]&amp;"",Tbl_Catalogue[],6,FALSE)),"-")</f>
        <v>-</v>
      </c>
      <c r="K249" s="2" t="str">
        <f>IFERROR(IF(VLOOKUP(Tbl_Donnees[[#This Row],[Référence]]&amp;"",Tbl_Catalogue[],7,FALSE)=0,"-",VLOOKUP(Tbl_Donnees[[#This Row],[Référence]]&amp;"",Tbl_Catalogue[],7,FALSE)),"-")</f>
        <v>INCONNU</v>
      </c>
      <c r="L249" s="5" t="str">
        <f>IFERROR(IF(VLOOKUP(Tbl_Donnees[[#This Row],[Référence]]&amp;"",Tbl_Catalogue[],10,FALSE)=0,"-",VLOOKUP(Tbl_Donnees[[#This Row],[Référence]]&amp;"",Tbl_Catalogue[],10,FALSE)),"-")</f>
        <v>-</v>
      </c>
      <c r="M249" s="2" t="str">
        <f>IFERROR(IF(VLOOKUP(Tbl_Donnees[[#This Row],[Référence]]&amp;"",Tbl_Catalogue[],8,FALSE)=0,"-",VLOOKUP(Tbl_Donnees[[#This Row],[Référence]]&amp;"",Tbl_Catalogue[],8,FALSE)),"-")</f>
        <v>-</v>
      </c>
      <c r="N249" s="5" t="str">
        <f>IFERROR(IF(VLOOKUP(Tbl_Donnees[[#This Row],[Référence]]&amp;"",Tbl_Catalogue[],9,FALSE)=0,"-",VLOOKUP(Tbl_Donnees[[#This Row],[Référence]]&amp;"",Tbl_Catalogue[],9,FALSE)),"-")</f>
        <v>-</v>
      </c>
      <c r="O249" s="5" t="str">
        <f>IFERROR(IF(VLOOKUP(Tbl_Donnees[[#This Row],[Référence]]&amp;"",Tbl_Catalogue[],11,FALSE)=0,"-",VLOOKUP(Tbl_Donnees[[#This Row],[Référence]]&amp;"",Tbl_Catalogue[],11,FALSE)),"-")</f>
        <v>-</v>
      </c>
      <c r="P249" s="2" t="str">
        <f>IFERROR(IF(VLOOKUP(Tbl_Donnees[[#This Row],[Référence]]&amp;"",Tbl_Catalogue[],12,FALSE)=0,"-",VLOOKUP(Tbl_Donnees[[#This Row],[Référence]]&amp;"",Tbl_Catalogue[],12,FALSE)),"-")</f>
        <v>-</v>
      </c>
      <c r="Q249" s="13" t="str">
        <f>IFERROR(IF(VLOOKUP(Tbl_Donnees[[#This Row],[Référence]]&amp;"",Tbl_Catalogue[],13,FALSE)=0,"-",VLOOKUP(Tbl_Donnees[[#This Row],[Référence]]&amp;"",Tbl_Catalogue[],13,FALSE)),"-")</f>
        <v>-</v>
      </c>
      <c r="R249" s="2"/>
    </row>
    <row r="250" spans="1:18" x14ac:dyDescent="0.2">
      <c r="A250" s="2" t="s">
        <v>357</v>
      </c>
      <c r="B250" s="5" t="s">
        <v>359</v>
      </c>
      <c r="C250" s="5" t="s">
        <v>60</v>
      </c>
      <c r="D250" s="6" t="str">
        <f>IFERROR(IF(VLOOKUP(Tbl_Donnees[[#This Row],[Référence]]&amp;"",Tbl_Catalogue[],3,FALSE)=0,"-",VLOOKUP(Tbl_Donnees[[#This Row],[Référence]]&amp;"",Tbl_Catalogue[],3,FALSE)),"-")</f>
        <v>RELAIS STATIQUE 4A</v>
      </c>
      <c r="E250" s="6">
        <v>1</v>
      </c>
      <c r="F250" s="6" t="str">
        <f>IFERROR(IF(VLOOKUP(Tbl_Donnees[[#This Row],[Référence]]&amp;"",Tbl_Catalogue[],2,FALSE)=0,"-",VLOOKUP(Tbl_Donnees[[#This Row],[Référence]]&amp;"",Tbl_Catalogue[],2,FALSE)),"-")</f>
        <v>CELDUC RELAIS</v>
      </c>
      <c r="G250" s="20" t="s">
        <v>464</v>
      </c>
      <c r="H250" s="6" t="str">
        <f>IFERROR(IF(VLOOKUP(Tbl_Donnees[[#This Row],[Référence]]&amp;"",Tbl_Catalogue[],4,FALSE)=0,"-",VLOOKUP(Tbl_Donnees[[#This Row],[Référence]]&amp;"",Tbl_Catalogue[],4,FALSE)),"-")</f>
        <v>Produit Actif</v>
      </c>
      <c r="I250" s="2" t="str">
        <f>IFERROR(IF(VLOOKUP(Tbl_Donnees[[#This Row],[Référence]]&amp;"",Tbl_Catalogue[],5,FALSE)=0,"-",VLOOKUP(Tbl_Donnees[[#This Row],[Référence]]&amp;"",Tbl_Catalogue[],5,FALSE)),"INCONNU")</f>
        <v>ACTIF</v>
      </c>
      <c r="J250" s="3" t="str">
        <f>IFERROR(IF(VLOOKUP(Tbl_Donnees[[#This Row],[Référence]]&amp;"",Tbl_Catalogue[],6,FALSE)=0,"-",VLOOKUP(Tbl_Donnees[[#This Row],[Référence]]&amp;"",Tbl_Catalogue[],6,FALSE)),"-")</f>
        <v>https://www.e-catalogue.celduc-relais.com/fr/xkd/425-xkld0020.html</v>
      </c>
      <c r="K250" s="2" t="str">
        <f>IFERROR(IF(VLOOKUP(Tbl_Donnees[[#This Row],[Référence]]&amp;"",Tbl_Catalogue[],7,FALSE)=0,"-",VLOOKUP(Tbl_Donnees[[#This Row],[Référence]]&amp;"",Tbl_Catalogue[],7,FALSE)),"-")</f>
        <v>-</v>
      </c>
      <c r="L250" s="5" t="str">
        <f>IFERROR(IF(VLOOKUP(Tbl_Donnees[[#This Row],[Référence]]&amp;"",Tbl_Catalogue[],10,FALSE)=0,"-",VLOOKUP(Tbl_Donnees[[#This Row],[Référence]]&amp;"",Tbl_Catalogue[],10,FALSE)),"-")</f>
        <v>-</v>
      </c>
      <c r="M250" s="2" t="str">
        <f>IFERROR(IF(VLOOKUP(Tbl_Donnees[[#This Row],[Référence]]&amp;"",Tbl_Catalogue[],8,FALSE)=0,"-",VLOOKUP(Tbl_Donnees[[#This Row],[Référence]]&amp;"",Tbl_Catalogue[],8,FALSE)),"-")</f>
        <v>-</v>
      </c>
      <c r="N250" s="5" t="str">
        <f>IFERROR(IF(VLOOKUP(Tbl_Donnees[[#This Row],[Référence]]&amp;"",Tbl_Catalogue[],9,FALSE)=0,"-",VLOOKUP(Tbl_Donnees[[#This Row],[Référence]]&amp;"",Tbl_Catalogue[],9,FALSE)),"-")</f>
        <v>-</v>
      </c>
      <c r="O250" s="5" t="str">
        <f>IFERROR(IF(VLOOKUP(Tbl_Donnees[[#This Row],[Référence]]&amp;"",Tbl_Catalogue[],11,FALSE)=0,"-",VLOOKUP(Tbl_Donnees[[#This Row],[Référence]]&amp;"",Tbl_Catalogue[],11,FALSE)),"-")</f>
        <v>-</v>
      </c>
      <c r="P250" s="2" t="str">
        <f>IFERROR(IF(VLOOKUP(Tbl_Donnees[[#This Row],[Référence]]&amp;"",Tbl_Catalogue[],12,FALSE)=0,"-",VLOOKUP(Tbl_Donnees[[#This Row],[Référence]]&amp;"",Tbl_Catalogue[],12,FALSE)),"-")</f>
        <v>-</v>
      </c>
      <c r="Q250" s="13" t="str">
        <f>IFERROR(IF(VLOOKUP(Tbl_Donnees[[#This Row],[Référence]]&amp;"",Tbl_Catalogue[],13,FALSE)=0,"-",VLOOKUP(Tbl_Donnees[[#This Row],[Référence]]&amp;"",Tbl_Catalogue[],13,FALSE)),"-")</f>
        <v>-</v>
      </c>
      <c r="R250" s="2"/>
    </row>
    <row r="251" spans="1:18" x14ac:dyDescent="0.2">
      <c r="A251" s="2" t="s">
        <v>357</v>
      </c>
      <c r="B251" s="5" t="s">
        <v>359</v>
      </c>
      <c r="C251" s="5" t="s">
        <v>60</v>
      </c>
      <c r="D251" s="6" t="str">
        <f>IFERROR(IF(VLOOKUP(Tbl_Donnees[[#This Row],[Référence]]&amp;"",Tbl_Catalogue[],3,FALSE)=0,"-",VLOOKUP(Tbl_Donnees[[#This Row],[Référence]]&amp;"",Tbl_Catalogue[],3,FALSE)),"-")</f>
        <v>MOT. ASYNCHRONE TRIPHASE</v>
      </c>
      <c r="E251" s="6">
        <v>1</v>
      </c>
      <c r="F251" s="6" t="str">
        <f>IFERROR(IF(VLOOKUP(Tbl_Donnees[[#This Row],[Référence]]&amp;"",Tbl_Catalogue[],2,FALSE)=0,"-",VLOOKUP(Tbl_Donnees[[#This Row],[Référence]]&amp;"",Tbl_Catalogue[],2,FALSE)),"-")</f>
        <v>ATB</v>
      </c>
      <c r="G251" s="20" t="s">
        <v>488</v>
      </c>
      <c r="H251" s="6" t="str">
        <f>IFERROR(IF(VLOOKUP(Tbl_Donnees[[#This Row],[Référence]]&amp;"",Tbl_Catalogue[],4,FALSE)=0,"-",VLOOKUP(Tbl_Donnees[[#This Row],[Référence]]&amp;"",Tbl_Catalogue[],4,FALSE)),"-")</f>
        <v>-</v>
      </c>
      <c r="I251" s="2" t="str">
        <f>IFERROR(IF(VLOOKUP(Tbl_Donnees[[#This Row],[Référence]]&amp;"",Tbl_Catalogue[],5,FALSE)=0,"-",VLOOKUP(Tbl_Donnees[[#This Row],[Référence]]&amp;"",Tbl_Catalogue[],5,FALSE)),"INCONNU")</f>
        <v>INCONNU</v>
      </c>
      <c r="J251" s="3" t="str">
        <f>IFERROR(IF(VLOOKUP(Tbl_Donnees[[#This Row],[Référence]]&amp;"",Tbl_Catalogue[],6,FALSE)=0,"-",VLOOKUP(Tbl_Donnees[[#This Row],[Référence]]&amp;"",Tbl_Catalogue[],6,FALSE)),"-")</f>
        <v>-</v>
      </c>
      <c r="K251" s="2" t="str">
        <f>IFERROR(IF(VLOOKUP(Tbl_Donnees[[#This Row],[Référence]]&amp;"",Tbl_Catalogue[],7,FALSE)=0,"-",VLOOKUP(Tbl_Donnees[[#This Row],[Référence]]&amp;"",Tbl_Catalogue[],7,FALSE)),"-")</f>
        <v>INCONNU</v>
      </c>
      <c r="L251" s="5" t="str">
        <f>IFERROR(IF(VLOOKUP(Tbl_Donnees[[#This Row],[Référence]]&amp;"",Tbl_Catalogue[],10,FALSE)=0,"-",VLOOKUP(Tbl_Donnees[[#This Row],[Référence]]&amp;"",Tbl_Catalogue[],10,FALSE)),"-")</f>
        <v>-</v>
      </c>
      <c r="M251" s="2" t="str">
        <f>IFERROR(IF(VLOOKUP(Tbl_Donnees[[#This Row],[Référence]]&amp;"",Tbl_Catalogue[],8,FALSE)=0,"-",VLOOKUP(Tbl_Donnees[[#This Row],[Référence]]&amp;"",Tbl_Catalogue[],8,FALSE)),"-")</f>
        <v>-</v>
      </c>
      <c r="N251" s="5" t="str">
        <f>IFERROR(IF(VLOOKUP(Tbl_Donnees[[#This Row],[Référence]]&amp;"",Tbl_Catalogue[],9,FALSE)=0,"-",VLOOKUP(Tbl_Donnees[[#This Row],[Référence]]&amp;"",Tbl_Catalogue[],9,FALSE)),"-")</f>
        <v>-</v>
      </c>
      <c r="O251" s="5" t="str">
        <f>IFERROR(IF(VLOOKUP(Tbl_Donnees[[#This Row],[Référence]]&amp;"",Tbl_Catalogue[],11,FALSE)=0,"-",VLOOKUP(Tbl_Donnees[[#This Row],[Référence]]&amp;"",Tbl_Catalogue[],11,FALSE)),"-")</f>
        <v>-</v>
      </c>
      <c r="P251" s="2" t="str">
        <f>IFERROR(IF(VLOOKUP(Tbl_Donnees[[#This Row],[Référence]]&amp;"",Tbl_Catalogue[],12,FALSE)=0,"-",VLOOKUP(Tbl_Donnees[[#This Row],[Référence]]&amp;"",Tbl_Catalogue[],12,FALSE)),"-")</f>
        <v>-</v>
      </c>
      <c r="Q251" s="13" t="str">
        <f>IFERROR(IF(VLOOKUP(Tbl_Donnees[[#This Row],[Référence]]&amp;"",Tbl_Catalogue[],13,FALSE)=0,"-",VLOOKUP(Tbl_Donnees[[#This Row],[Référence]]&amp;"",Tbl_Catalogue[],13,FALSE)),"-")</f>
        <v>-</v>
      </c>
      <c r="R251" s="5"/>
    </row>
    <row r="252" spans="1:18" x14ac:dyDescent="0.2">
      <c r="A252" s="2" t="s">
        <v>357</v>
      </c>
      <c r="B252" s="5" t="s">
        <v>359</v>
      </c>
      <c r="C252" s="5" t="s">
        <v>60</v>
      </c>
      <c r="D252" s="6" t="str">
        <f>IFERROR(IF(VLOOKUP(Tbl_Donnees[[#This Row],[Référence]]&amp;"",Tbl_Catalogue[],3,FALSE)=0,"-",VLOOKUP(Tbl_Donnees[[#This Row],[Référence]]&amp;"",Tbl_Catalogue[],3,FALSE)),"-")</f>
        <v>DISTRIB. ELECTROPNEUMATIQUE</v>
      </c>
      <c r="E252" s="6">
        <v>1</v>
      </c>
      <c r="F252" s="6" t="str">
        <f>IFERROR(IF(VLOOKUP(Tbl_Donnees[[#This Row],[Référence]]&amp;"",Tbl_Catalogue[],2,FALSE)=0,"-",VLOOKUP(Tbl_Donnees[[#This Row],[Référence]]&amp;"",Tbl_Catalogue[],2,FALSE)),"-")</f>
        <v>AIRTEC</v>
      </c>
      <c r="G252" s="20" t="s">
        <v>478</v>
      </c>
      <c r="H252" s="6" t="str">
        <f>IFERROR(IF(VLOOKUP(Tbl_Donnees[[#This Row],[Référence]]&amp;"",Tbl_Catalogue[],4,FALSE)=0,"-",VLOOKUP(Tbl_Donnees[[#This Row],[Référence]]&amp;"",Tbl_Catalogue[],4,FALSE)),"-")</f>
        <v>-</v>
      </c>
      <c r="I252" s="2" t="str">
        <f>IFERROR(IF(VLOOKUP(Tbl_Donnees[[#This Row],[Référence]]&amp;"",Tbl_Catalogue[],5,FALSE)=0,"-",VLOOKUP(Tbl_Donnees[[#This Row],[Référence]]&amp;"",Tbl_Catalogue[],5,FALSE)),"INCONNU")</f>
        <v>INCONNU</v>
      </c>
      <c r="J252" s="3" t="str">
        <f>IFERROR(IF(VLOOKUP(Tbl_Donnees[[#This Row],[Référence]]&amp;"",Tbl_Catalogue[],6,FALSE)=0,"-",VLOOKUP(Tbl_Donnees[[#This Row],[Référence]]&amp;"",Tbl_Catalogue[],6,FALSE)),"-")</f>
        <v>-</v>
      </c>
      <c r="K252" s="2" t="str">
        <f>IFERROR(IF(VLOOKUP(Tbl_Donnees[[#This Row],[Référence]]&amp;"",Tbl_Catalogue[],7,FALSE)=0,"-",VLOOKUP(Tbl_Donnees[[#This Row],[Référence]]&amp;"",Tbl_Catalogue[],7,FALSE)),"-")</f>
        <v>INCONNU</v>
      </c>
      <c r="L252" s="5" t="str">
        <f>IFERROR(IF(VLOOKUP(Tbl_Donnees[[#This Row],[Référence]]&amp;"",Tbl_Catalogue[],10,FALSE)=0,"-",VLOOKUP(Tbl_Donnees[[#This Row],[Référence]]&amp;"",Tbl_Catalogue[],10,FALSE)),"-")</f>
        <v>-</v>
      </c>
      <c r="M252" s="2" t="str">
        <f>IFERROR(IF(VLOOKUP(Tbl_Donnees[[#This Row],[Référence]]&amp;"",Tbl_Catalogue[],8,FALSE)=0,"-",VLOOKUP(Tbl_Donnees[[#This Row],[Référence]]&amp;"",Tbl_Catalogue[],8,FALSE)),"-")</f>
        <v>-</v>
      </c>
      <c r="N252" s="5" t="str">
        <f>IFERROR(IF(VLOOKUP(Tbl_Donnees[[#This Row],[Référence]]&amp;"",Tbl_Catalogue[],9,FALSE)=0,"-",VLOOKUP(Tbl_Donnees[[#This Row],[Référence]]&amp;"",Tbl_Catalogue[],9,FALSE)),"-")</f>
        <v>-</v>
      </c>
      <c r="O252" s="5" t="str">
        <f>IFERROR(IF(VLOOKUP(Tbl_Donnees[[#This Row],[Référence]]&amp;"",Tbl_Catalogue[],11,FALSE)=0,"-",VLOOKUP(Tbl_Donnees[[#This Row],[Référence]]&amp;"",Tbl_Catalogue[],11,FALSE)),"-")</f>
        <v>-</v>
      </c>
      <c r="P252" s="2" t="str">
        <f>IFERROR(IF(VLOOKUP(Tbl_Donnees[[#This Row],[Référence]]&amp;"",Tbl_Catalogue[],12,FALSE)=0,"-",VLOOKUP(Tbl_Donnees[[#This Row],[Référence]]&amp;"",Tbl_Catalogue[],12,FALSE)),"-")</f>
        <v>-</v>
      </c>
      <c r="Q252" s="13" t="str">
        <f>IFERROR(IF(VLOOKUP(Tbl_Donnees[[#This Row],[Référence]]&amp;"",Tbl_Catalogue[],13,FALSE)=0,"-",VLOOKUP(Tbl_Donnees[[#This Row],[Référence]]&amp;"",Tbl_Catalogue[],13,FALSE)),"-")</f>
        <v>-</v>
      </c>
      <c r="R252" s="5"/>
    </row>
    <row r="253" spans="1:18" x14ac:dyDescent="0.2">
      <c r="A253" s="2" t="s">
        <v>357</v>
      </c>
      <c r="B253" s="5" t="s">
        <v>359</v>
      </c>
      <c r="C253" s="5" t="s">
        <v>60</v>
      </c>
      <c r="D253" s="6" t="str">
        <f>IFERROR(IF(VLOOKUP(Tbl_Donnees[[#This Row],[Référence]]&amp;"",Tbl_Catalogue[],3,FALSE)=0,"-",VLOOKUP(Tbl_Donnees[[#This Row],[Référence]]&amp;"",Tbl_Catalogue[],3,FALSE)),"-")</f>
        <v>BOBINE ELECTROVANNE 24VCC</v>
      </c>
      <c r="E253" s="6">
        <v>1</v>
      </c>
      <c r="F253" s="6" t="str">
        <f>IFERROR(IF(VLOOKUP(Tbl_Donnees[[#This Row],[Référence]]&amp;"",Tbl_Catalogue[],2,FALSE)=0,"-",VLOOKUP(Tbl_Donnees[[#This Row],[Référence]]&amp;"",Tbl_Catalogue[],2,FALSE)),"-")</f>
        <v>AIRTEC</v>
      </c>
      <c r="G253" s="20" t="s">
        <v>476</v>
      </c>
      <c r="H253" s="6" t="str">
        <f>IFERROR(IF(VLOOKUP(Tbl_Donnees[[#This Row],[Référence]]&amp;"",Tbl_Catalogue[],4,FALSE)=0,"-",VLOOKUP(Tbl_Donnees[[#This Row],[Référence]]&amp;"",Tbl_Catalogue[],4,FALSE)),"-")</f>
        <v>ACTIF</v>
      </c>
      <c r="I253" s="2" t="str">
        <f>IFERROR(IF(VLOOKUP(Tbl_Donnees[[#This Row],[Référence]]&amp;"",Tbl_Catalogue[],5,FALSE)=0,"-",VLOOKUP(Tbl_Donnees[[#This Row],[Référence]]&amp;"",Tbl_Catalogue[],5,FALSE)),"INCONNU")</f>
        <v>ACTIF</v>
      </c>
      <c r="J253" s="3" t="str">
        <f>IFERROR(IF(VLOOKUP(Tbl_Donnees[[#This Row],[Référence]]&amp;"",Tbl_Catalogue[],6,FALSE)=0,"-",VLOOKUP(Tbl_Donnees[[#This Row],[Référence]]&amp;"",Tbl_Catalogue[],6,FALSE)),"-")</f>
        <v>https://www.air-techniques.fr/rob/bobine-24vdc-forme-b-23-sp-011-g-412.html</v>
      </c>
      <c r="K253" s="2" t="str">
        <f>IFERROR(IF(VLOOKUP(Tbl_Donnees[[#This Row],[Référence]]&amp;"",Tbl_Catalogue[],7,FALSE)=0,"-",VLOOKUP(Tbl_Donnees[[#This Row],[Référence]]&amp;"",Tbl_Catalogue[],7,FALSE)),"-")</f>
        <v>INCONNU</v>
      </c>
      <c r="L253" s="5" t="str">
        <f>IFERROR(IF(VLOOKUP(Tbl_Donnees[[#This Row],[Référence]]&amp;"",Tbl_Catalogue[],10,FALSE)=0,"-",VLOOKUP(Tbl_Donnees[[#This Row],[Référence]]&amp;"",Tbl_Catalogue[],10,FALSE)),"-")</f>
        <v>-</v>
      </c>
      <c r="M253" s="2" t="str">
        <f>IFERROR(IF(VLOOKUP(Tbl_Donnees[[#This Row],[Référence]]&amp;"",Tbl_Catalogue[],8,FALSE)=0,"-",VLOOKUP(Tbl_Donnees[[#This Row],[Référence]]&amp;"",Tbl_Catalogue[],8,FALSE)),"-")</f>
        <v>-</v>
      </c>
      <c r="N253" s="5" t="str">
        <f>IFERROR(IF(VLOOKUP(Tbl_Donnees[[#This Row],[Référence]]&amp;"",Tbl_Catalogue[],9,FALSE)=0,"-",VLOOKUP(Tbl_Donnees[[#This Row],[Référence]]&amp;"",Tbl_Catalogue[],9,FALSE)),"-")</f>
        <v>-</v>
      </c>
      <c r="O253" s="5" t="str">
        <f>IFERROR(IF(VLOOKUP(Tbl_Donnees[[#This Row],[Référence]]&amp;"",Tbl_Catalogue[],11,FALSE)=0,"-",VLOOKUP(Tbl_Donnees[[#This Row],[Référence]]&amp;"",Tbl_Catalogue[],11,FALSE)),"-")</f>
        <v>-</v>
      </c>
      <c r="P253" s="2" t="str">
        <f>IFERROR(IF(VLOOKUP(Tbl_Donnees[[#This Row],[Référence]]&amp;"",Tbl_Catalogue[],12,FALSE)=0,"-",VLOOKUP(Tbl_Donnees[[#This Row],[Référence]]&amp;"",Tbl_Catalogue[],12,FALSE)),"-")</f>
        <v>-</v>
      </c>
      <c r="Q253" s="13" t="str">
        <f>IFERROR(IF(VLOOKUP(Tbl_Donnees[[#This Row],[Référence]]&amp;"",Tbl_Catalogue[],13,FALSE)=0,"-",VLOOKUP(Tbl_Donnees[[#This Row],[Référence]]&amp;"",Tbl_Catalogue[],13,FALSE)),"-")</f>
        <v>-</v>
      </c>
      <c r="R253" s="2"/>
    </row>
    <row r="254" spans="1:18" x14ac:dyDescent="0.2">
      <c r="A254" s="2" t="s">
        <v>357</v>
      </c>
      <c r="B254" s="5" t="s">
        <v>359</v>
      </c>
      <c r="C254" s="5" t="s">
        <v>140</v>
      </c>
      <c r="D254" s="6" t="str">
        <f>IFERROR(IF(VLOOKUP(Tbl_Donnees[[#This Row],[Référence]]&amp;"",Tbl_Catalogue[],3,FALSE)=0,"-",VLOOKUP(Tbl_Donnees[[#This Row],[Référence]]&amp;"",Tbl_Catalogue[],3,FALSE)),"-")</f>
        <v>CAPTEUR NIVEAU WS35 500MM</v>
      </c>
      <c r="E254" s="6">
        <v>1</v>
      </c>
      <c r="F254" s="6" t="str">
        <f>IFERROR(IF(VLOOKUP(Tbl_Donnees[[#This Row],[Référence]]&amp;"",Tbl_Catalogue[],2,FALSE)=0,"-",VLOOKUP(Tbl_Donnees[[#This Row],[Référence]]&amp;"",Tbl_Catalogue[],2,FALSE)),"-")</f>
        <v>VOGEL SCHMIERTECHNIK</v>
      </c>
      <c r="G254" s="20" t="s">
        <v>586</v>
      </c>
      <c r="H254" s="6" t="str">
        <f>IFERROR(IF(VLOOKUP(Tbl_Donnees[[#This Row],[Référence]]&amp;"",Tbl_Catalogue[],4,FALSE)=0,"-",VLOOKUP(Tbl_Donnees[[#This Row],[Référence]]&amp;"",Tbl_Catalogue[],4,FALSE)),"-")</f>
        <v>Produit Actif</v>
      </c>
      <c r="I254" s="2" t="str">
        <f>IFERROR(IF(VLOOKUP(Tbl_Donnees[[#This Row],[Référence]]&amp;"",Tbl_Catalogue[],5,FALSE)=0,"-",VLOOKUP(Tbl_Donnees[[#This Row],[Référence]]&amp;"",Tbl_Catalogue[],5,FALSE)),"INCONNU")</f>
        <v>ACTIF</v>
      </c>
      <c r="J254" s="3" t="str">
        <f>IFERROR(IF(VLOOKUP(Tbl_Donnees[[#This Row],[Référence]]&amp;"",Tbl_Catalogue[],6,FALSE)=0,"-",VLOOKUP(Tbl_Donnees[[#This Row],[Référence]]&amp;"",Tbl_Catalogue[],6,FALSE)),"-")</f>
        <v>https://www.vogel-zentralschmierung.de/en/level-switch-ws35-585?number=WS35-2%2BB28</v>
      </c>
      <c r="K254" s="2" t="str">
        <f>IFERROR(IF(VLOOKUP(Tbl_Donnees[[#This Row],[Référence]]&amp;"",Tbl_Catalogue[],7,FALSE)=0,"-",VLOOKUP(Tbl_Donnees[[#This Row],[Référence]]&amp;"",Tbl_Catalogue[],7,FALSE)),"-")</f>
        <v>-</v>
      </c>
      <c r="L254" s="5" t="str">
        <f>IFERROR(IF(VLOOKUP(Tbl_Donnees[[#This Row],[Référence]]&amp;"",Tbl_Catalogue[],10,FALSE)=0,"-",VLOOKUP(Tbl_Donnees[[#This Row],[Référence]]&amp;"",Tbl_Catalogue[],10,FALSE)),"-")</f>
        <v>-</v>
      </c>
      <c r="M254" s="2" t="str">
        <f>IFERROR(IF(VLOOKUP(Tbl_Donnees[[#This Row],[Référence]]&amp;"",Tbl_Catalogue[],8,FALSE)=0,"-",VLOOKUP(Tbl_Donnees[[#This Row],[Référence]]&amp;"",Tbl_Catalogue[],8,FALSE)),"-")</f>
        <v>-</v>
      </c>
      <c r="N254" s="5" t="str">
        <f>IFERROR(IF(VLOOKUP(Tbl_Donnees[[#This Row],[Référence]]&amp;"",Tbl_Catalogue[],9,FALSE)=0,"-",VLOOKUP(Tbl_Donnees[[#This Row],[Référence]]&amp;"",Tbl_Catalogue[],9,FALSE)),"-")</f>
        <v>-</v>
      </c>
      <c r="O254" s="5" t="str">
        <f>IFERROR(IF(VLOOKUP(Tbl_Donnees[[#This Row],[Référence]]&amp;"",Tbl_Catalogue[],11,FALSE)=0,"-",VLOOKUP(Tbl_Donnees[[#This Row],[Référence]]&amp;"",Tbl_Catalogue[],11,FALSE)),"-")</f>
        <v>-</v>
      </c>
      <c r="P254" s="2" t="str">
        <f>IFERROR(IF(VLOOKUP(Tbl_Donnees[[#This Row],[Référence]]&amp;"",Tbl_Catalogue[],12,FALSE)=0,"-",VLOOKUP(Tbl_Donnees[[#This Row],[Référence]]&amp;"",Tbl_Catalogue[],12,FALSE)),"-")</f>
        <v>-</v>
      </c>
      <c r="Q254" s="13" t="str">
        <f>IFERROR(IF(VLOOKUP(Tbl_Donnees[[#This Row],[Référence]]&amp;"",Tbl_Catalogue[],13,FALSE)=0,"-",VLOOKUP(Tbl_Donnees[[#This Row],[Référence]]&amp;"",Tbl_Catalogue[],13,FALSE)),"-")</f>
        <v>-</v>
      </c>
      <c r="R254" s="5"/>
    </row>
    <row r="255" spans="1:18" x14ac:dyDescent="0.2">
      <c r="A255" s="2" t="s">
        <v>357</v>
      </c>
      <c r="B255" s="5" t="s">
        <v>359</v>
      </c>
      <c r="C255" s="5" t="s">
        <v>140</v>
      </c>
      <c r="D255" s="6" t="str">
        <f>IFERROR(IF(VLOOKUP(Tbl_Donnees[[#This Row],[Référence]]&amp;"",Tbl_Catalogue[],3,FALSE)=0,"-",VLOOKUP(Tbl_Donnees[[#This Row],[Référence]]&amp;"",Tbl_Catalogue[],3,FALSE)),"-")</f>
        <v>COMPOSANT NON IDENTIFIE</v>
      </c>
      <c r="E255" s="6">
        <v>1</v>
      </c>
      <c r="F255" s="6" t="str">
        <f>IFERROR(IF(VLOOKUP(Tbl_Donnees[[#This Row],[Référence]]&amp;"",Tbl_Catalogue[],2,FALSE)=0,"-",VLOOKUP(Tbl_Donnees[[#This Row],[Référence]]&amp;"",Tbl_Catalogue[],2,FALSE)),"-")</f>
        <v>UDO KLEUSBERG</v>
      </c>
      <c r="G255" s="20" t="s">
        <v>597</v>
      </c>
      <c r="H255" s="6" t="str">
        <f>IFERROR(IF(VLOOKUP(Tbl_Donnees[[#This Row],[Référence]]&amp;"",Tbl_Catalogue[],4,FALSE)=0,"-",VLOOKUP(Tbl_Donnees[[#This Row],[Référence]]&amp;"",Tbl_Catalogue[],4,FALSE)),"-")</f>
        <v>-</v>
      </c>
      <c r="I255" s="2" t="str">
        <f>IFERROR(IF(VLOOKUP(Tbl_Donnees[[#This Row],[Référence]]&amp;"",Tbl_Catalogue[],5,FALSE)=0,"-",VLOOKUP(Tbl_Donnees[[#This Row],[Référence]]&amp;"",Tbl_Catalogue[],5,FALSE)),"INCONNU")</f>
        <v>INCONNU</v>
      </c>
      <c r="J255" s="3" t="str">
        <f>IFERROR(IF(VLOOKUP(Tbl_Donnees[[#This Row],[Référence]]&amp;"",Tbl_Catalogue[],6,FALSE)=0,"-",VLOOKUP(Tbl_Donnees[[#This Row],[Référence]]&amp;"",Tbl_Catalogue[],6,FALSE)),"-")</f>
        <v>-</v>
      </c>
      <c r="K255" s="2" t="str">
        <f>IFERROR(IF(VLOOKUP(Tbl_Donnees[[#This Row],[Référence]]&amp;"",Tbl_Catalogue[],7,FALSE)=0,"-",VLOOKUP(Tbl_Donnees[[#This Row],[Référence]]&amp;"",Tbl_Catalogue[],7,FALSE)),"-")</f>
        <v>INCONNU</v>
      </c>
      <c r="L255" s="5" t="str">
        <f>IFERROR(IF(VLOOKUP(Tbl_Donnees[[#This Row],[Référence]]&amp;"",Tbl_Catalogue[],10,FALSE)=0,"-",VLOOKUP(Tbl_Donnees[[#This Row],[Référence]]&amp;"",Tbl_Catalogue[],10,FALSE)),"-")</f>
        <v>-</v>
      </c>
      <c r="M255" s="2" t="str">
        <f>IFERROR(IF(VLOOKUP(Tbl_Donnees[[#This Row],[Référence]]&amp;"",Tbl_Catalogue[],8,FALSE)=0,"-",VLOOKUP(Tbl_Donnees[[#This Row],[Référence]]&amp;"",Tbl_Catalogue[],8,FALSE)),"-")</f>
        <v>-</v>
      </c>
      <c r="N255" s="5" t="str">
        <f>IFERROR(IF(VLOOKUP(Tbl_Donnees[[#This Row],[Référence]]&amp;"",Tbl_Catalogue[],9,FALSE)=0,"-",VLOOKUP(Tbl_Donnees[[#This Row],[Référence]]&amp;"",Tbl_Catalogue[],9,FALSE)),"-")</f>
        <v>-</v>
      </c>
      <c r="O255" s="5" t="str">
        <f>IFERROR(IF(VLOOKUP(Tbl_Donnees[[#This Row],[Référence]]&amp;"",Tbl_Catalogue[],11,FALSE)=0,"-",VLOOKUP(Tbl_Donnees[[#This Row],[Référence]]&amp;"",Tbl_Catalogue[],11,FALSE)),"-")</f>
        <v>-</v>
      </c>
      <c r="P255" s="2" t="str">
        <f>IFERROR(IF(VLOOKUP(Tbl_Donnees[[#This Row],[Référence]]&amp;"",Tbl_Catalogue[],12,FALSE)=0,"-",VLOOKUP(Tbl_Donnees[[#This Row],[Référence]]&amp;"",Tbl_Catalogue[],12,FALSE)),"-")</f>
        <v>-</v>
      </c>
      <c r="Q255" s="13" t="str">
        <f>IFERROR(IF(VLOOKUP(Tbl_Donnees[[#This Row],[Référence]]&amp;"",Tbl_Catalogue[],13,FALSE)=0,"-",VLOOKUP(Tbl_Donnees[[#This Row],[Référence]]&amp;"",Tbl_Catalogue[],13,FALSE)),"-")</f>
        <v>-</v>
      </c>
      <c r="R255" s="2"/>
    </row>
    <row r="256" spans="1:18" x14ac:dyDescent="0.2">
      <c r="A256" s="2" t="s">
        <v>357</v>
      </c>
      <c r="B256" s="5" t="s">
        <v>359</v>
      </c>
      <c r="C256" s="5" t="s">
        <v>140</v>
      </c>
      <c r="D256" s="6" t="str">
        <f>IFERROR(IF(VLOOKUP(Tbl_Donnees[[#This Row],[Référence]]&amp;"",Tbl_Catalogue[],3,FALSE)=0,"-",VLOOKUP(Tbl_Donnees[[#This Row],[Référence]]&amp;"",Tbl_Catalogue[],3,FALSE)),"-")</f>
        <v>FILTRE FENTE A TAMBOUR</v>
      </c>
      <c r="E256" s="6">
        <v>1</v>
      </c>
      <c r="F256" s="6" t="str">
        <f>IFERROR(IF(VLOOKUP(Tbl_Donnees[[#This Row],[Référence]]&amp;"",Tbl_Catalogue[],2,FALSE)=0,"-",VLOOKUP(Tbl_Donnees[[#This Row],[Référence]]&amp;"",Tbl_Catalogue[],2,FALSE)),"-")</f>
        <v>RUEZ</v>
      </c>
      <c r="G256" s="20" t="s">
        <v>592</v>
      </c>
      <c r="H256" s="6" t="str">
        <f>IFERROR(IF(VLOOKUP(Tbl_Donnees[[#This Row],[Référence]]&amp;"",Tbl_Catalogue[],4,FALSE)=0,"-",VLOOKUP(Tbl_Donnees[[#This Row],[Référence]]&amp;"",Tbl_Catalogue[],4,FALSE)),"-")</f>
        <v>Obsolète</v>
      </c>
      <c r="I256" s="2" t="str">
        <f>IFERROR(IF(VLOOKUP(Tbl_Donnees[[#This Row],[Référence]]&amp;"",Tbl_Catalogue[],5,FALSE)=0,"-",VLOOKUP(Tbl_Donnees[[#This Row],[Référence]]&amp;"",Tbl_Catalogue[],5,FALSE)),"INCONNU")</f>
        <v>INCONNU</v>
      </c>
      <c r="J256" s="3" t="str">
        <f>IFERROR(IF(VLOOKUP(Tbl_Donnees[[#This Row],[Référence]]&amp;"",Tbl_Catalogue[],6,FALSE)=0,"-",VLOOKUP(Tbl_Donnees[[#This Row],[Référence]]&amp;"",Tbl_Catalogue[],6,FALSE)),"-")</f>
        <v>-</v>
      </c>
      <c r="K256" s="2" t="str">
        <f>IFERROR(IF(VLOOKUP(Tbl_Donnees[[#This Row],[Référence]]&amp;"",Tbl_Catalogue[],7,FALSE)=0,"-",VLOOKUP(Tbl_Donnees[[#This Row],[Référence]]&amp;"",Tbl_Catalogue[],7,FALSE)),"-")</f>
        <v>INCONNU</v>
      </c>
      <c r="L256" s="5" t="str">
        <f>IFERROR(IF(VLOOKUP(Tbl_Donnees[[#This Row],[Référence]]&amp;"",Tbl_Catalogue[],10,FALSE)=0,"-",VLOOKUP(Tbl_Donnees[[#This Row],[Référence]]&amp;"",Tbl_Catalogue[],10,FALSE)),"-")</f>
        <v>-</v>
      </c>
      <c r="M256" s="2" t="str">
        <f>IFERROR(IF(VLOOKUP(Tbl_Donnees[[#This Row],[Référence]]&amp;"",Tbl_Catalogue[],8,FALSE)=0,"-",VLOOKUP(Tbl_Donnees[[#This Row],[Référence]]&amp;"",Tbl_Catalogue[],8,FALSE)),"-")</f>
        <v>-</v>
      </c>
      <c r="N256" s="5" t="str">
        <f>IFERROR(IF(VLOOKUP(Tbl_Donnees[[#This Row],[Référence]]&amp;"",Tbl_Catalogue[],9,FALSE)=0,"-",VLOOKUP(Tbl_Donnees[[#This Row],[Référence]]&amp;"",Tbl_Catalogue[],9,FALSE)),"-")</f>
        <v>-</v>
      </c>
      <c r="O256" s="5" t="str">
        <f>IFERROR(IF(VLOOKUP(Tbl_Donnees[[#This Row],[Référence]]&amp;"",Tbl_Catalogue[],11,FALSE)=0,"-",VLOOKUP(Tbl_Donnees[[#This Row],[Référence]]&amp;"",Tbl_Catalogue[],11,FALSE)),"-")</f>
        <v>-</v>
      </c>
      <c r="P256" s="2" t="str">
        <f>IFERROR(IF(VLOOKUP(Tbl_Donnees[[#This Row],[Référence]]&amp;"",Tbl_Catalogue[],12,FALSE)=0,"-",VLOOKUP(Tbl_Donnees[[#This Row],[Référence]]&amp;"",Tbl_Catalogue[],12,FALSE)),"-")</f>
        <v>-</v>
      </c>
      <c r="Q256" s="13" t="str">
        <f>IFERROR(IF(VLOOKUP(Tbl_Donnees[[#This Row],[Référence]]&amp;"",Tbl_Catalogue[],13,FALSE)=0,"-",VLOOKUP(Tbl_Donnees[[#This Row],[Référence]]&amp;"",Tbl_Catalogue[],13,FALSE)),"-")</f>
        <v>-</v>
      </c>
      <c r="R256" s="2"/>
    </row>
    <row r="257" spans="1:18" x14ac:dyDescent="0.2">
      <c r="A257" s="2" t="s">
        <v>357</v>
      </c>
      <c r="B257" s="5" t="s">
        <v>359</v>
      </c>
      <c r="C257" s="5" t="s">
        <v>140</v>
      </c>
      <c r="D257" s="6" t="str">
        <f>IFERROR(IF(VLOOKUP(Tbl_Donnees[[#This Row],[Référence]]&amp;"",Tbl_Catalogue[],3,FALSE)=0,"-",VLOOKUP(Tbl_Donnees[[#This Row],[Référence]]&amp;"",Tbl_Catalogue[],3,FALSE)),"-")</f>
        <v>MINI-VANNE PNEUMATIQUE NF</v>
      </c>
      <c r="E257" s="6">
        <v>1</v>
      </c>
      <c r="F257" s="6" t="str">
        <f>IFERROR(IF(VLOOKUP(Tbl_Donnees[[#This Row],[Référence]]&amp;"",Tbl_Catalogue[],2,FALSE)=0,"-",VLOOKUP(Tbl_Donnees[[#This Row],[Référence]]&amp;"",Tbl_Catalogue[],2,FALSE)),"-")</f>
        <v>PARKER</v>
      </c>
      <c r="G257" s="20" t="s">
        <v>605</v>
      </c>
      <c r="H257" s="6" t="str">
        <f>IFERROR(IF(VLOOKUP(Tbl_Donnees[[#This Row],[Référence]]&amp;"",Tbl_Catalogue[],4,FALSE)=0,"-",VLOOKUP(Tbl_Donnees[[#This Row],[Référence]]&amp;"",Tbl_Catalogue[],4,FALSE)),"-")</f>
        <v>-</v>
      </c>
      <c r="I257" s="2" t="str">
        <f>IFERROR(IF(VLOOKUP(Tbl_Donnees[[#This Row],[Référence]]&amp;"",Tbl_Catalogue[],5,FALSE)=0,"-",VLOOKUP(Tbl_Donnees[[#This Row],[Référence]]&amp;"",Tbl_Catalogue[],5,FALSE)),"INCONNU")</f>
        <v>INCONNU</v>
      </c>
      <c r="J257" s="3" t="str">
        <f>IFERROR(IF(VLOOKUP(Tbl_Donnees[[#This Row],[Référence]]&amp;"",Tbl_Catalogue[],6,FALSE)=0,"-",VLOOKUP(Tbl_Donnees[[#This Row],[Référence]]&amp;"",Tbl_Catalogue[],6,FALSE)),"-")</f>
        <v>-</v>
      </c>
      <c r="K257" s="2" t="str">
        <f>IFERROR(IF(VLOOKUP(Tbl_Donnees[[#This Row],[Référence]]&amp;"",Tbl_Catalogue[],7,FALSE)=0,"-",VLOOKUP(Tbl_Donnees[[#This Row],[Référence]]&amp;"",Tbl_Catalogue[],7,FALSE)),"-")</f>
        <v>INCONNU</v>
      </c>
      <c r="L257" s="5" t="str">
        <f>IFERROR(IF(VLOOKUP(Tbl_Donnees[[#This Row],[Référence]]&amp;"",Tbl_Catalogue[],10,FALSE)=0,"-",VLOOKUP(Tbl_Donnees[[#This Row],[Référence]]&amp;"",Tbl_Catalogue[],10,FALSE)),"-")</f>
        <v>-</v>
      </c>
      <c r="M257" s="2" t="str">
        <f>IFERROR(IF(VLOOKUP(Tbl_Donnees[[#This Row],[Référence]]&amp;"",Tbl_Catalogue[],8,FALSE)=0,"-",VLOOKUP(Tbl_Donnees[[#This Row],[Référence]]&amp;"",Tbl_Catalogue[],8,FALSE)),"-")</f>
        <v>-</v>
      </c>
      <c r="N257" s="5" t="str">
        <f>IFERROR(IF(VLOOKUP(Tbl_Donnees[[#This Row],[Référence]]&amp;"",Tbl_Catalogue[],9,FALSE)=0,"-",VLOOKUP(Tbl_Donnees[[#This Row],[Référence]]&amp;"",Tbl_Catalogue[],9,FALSE)),"-")</f>
        <v>-</v>
      </c>
      <c r="O257" s="5" t="str">
        <f>IFERROR(IF(VLOOKUP(Tbl_Donnees[[#This Row],[Référence]]&amp;"",Tbl_Catalogue[],11,FALSE)=0,"-",VLOOKUP(Tbl_Donnees[[#This Row],[Référence]]&amp;"",Tbl_Catalogue[],11,FALSE)),"-")</f>
        <v>-</v>
      </c>
      <c r="P257" s="2" t="str">
        <f>IFERROR(IF(VLOOKUP(Tbl_Donnees[[#This Row],[Référence]]&amp;"",Tbl_Catalogue[],12,FALSE)=0,"-",VLOOKUP(Tbl_Donnees[[#This Row],[Référence]]&amp;"",Tbl_Catalogue[],12,FALSE)),"-")</f>
        <v>-</v>
      </c>
      <c r="Q257" s="13" t="str">
        <f>IFERROR(IF(VLOOKUP(Tbl_Donnees[[#This Row],[Référence]]&amp;"",Tbl_Catalogue[],13,FALSE)=0,"-",VLOOKUP(Tbl_Donnees[[#This Row],[Référence]]&amp;"",Tbl_Catalogue[],13,FALSE)),"-")</f>
        <v>-</v>
      </c>
      <c r="R257" s="5"/>
    </row>
    <row r="258" spans="1:18" ht="20.399999999999999" x14ac:dyDescent="0.2">
      <c r="A258" s="2" t="s">
        <v>357</v>
      </c>
      <c r="B258" s="5" t="s">
        <v>359</v>
      </c>
      <c r="C258" s="5" t="s">
        <v>140</v>
      </c>
      <c r="D258" s="6" t="str">
        <f>IFERROR(IF(VLOOKUP(Tbl_Donnees[[#This Row],[Référence]]&amp;"",Tbl_Catalogue[],3,FALSE)=0,"-",VLOOKUP(Tbl_Donnees[[#This Row],[Référence]]&amp;"",Tbl_Catalogue[],3,FALSE)),"-")</f>
        <v>VANNE COMMANDE PNEUMATIQUE</v>
      </c>
      <c r="E258" s="6">
        <v>1</v>
      </c>
      <c r="F258" s="6" t="str">
        <f>IFERROR(IF(VLOOKUP(Tbl_Donnees[[#This Row],[Référence]]&amp;"",Tbl_Catalogue[],2,FALSE)=0,"-",VLOOKUP(Tbl_Donnees[[#This Row],[Référence]]&amp;"",Tbl_Catalogue[],2,FALSE)),"-")</f>
        <v>ODE</v>
      </c>
      <c r="G258" s="20" t="s">
        <v>589</v>
      </c>
      <c r="H258" s="6" t="str">
        <f>IFERROR(IF(VLOOKUP(Tbl_Donnees[[#This Row],[Référence]]&amp;"",Tbl_Catalogue[],4,FALSE)=0,"-",VLOOKUP(Tbl_Donnees[[#This Row],[Référence]]&amp;"",Tbl_Catalogue[],4,FALSE)),"-")</f>
        <v>-</v>
      </c>
      <c r="I258" s="2" t="str">
        <f>IFERROR(IF(VLOOKUP(Tbl_Donnees[[#This Row],[Référence]]&amp;"",Tbl_Catalogue[],5,FALSE)=0,"-",VLOOKUP(Tbl_Donnees[[#This Row],[Référence]]&amp;"",Tbl_Catalogue[],5,FALSE)),"INCONNU")</f>
        <v>INCONNU</v>
      </c>
      <c r="J258" s="3" t="str">
        <f>IFERROR(IF(VLOOKUP(Tbl_Donnees[[#This Row],[Référence]]&amp;"",Tbl_Catalogue[],6,FALSE)=0,"-",VLOOKUP(Tbl_Donnees[[#This Row],[Référence]]&amp;"",Tbl_Catalogue[],6,FALSE)),"-")</f>
        <v>https://www.ode-france.fr/catalogue-vannes-pneumatiques</v>
      </c>
      <c r="K258" s="2" t="str">
        <f>IFERROR(IF(VLOOKUP(Tbl_Donnees[[#This Row],[Référence]]&amp;"",Tbl_Catalogue[],7,FALSE)=0,"-",VLOOKUP(Tbl_Donnees[[#This Row],[Référence]]&amp;"",Tbl_Catalogue[],7,FALSE)),"-")</f>
        <v>INCONNU</v>
      </c>
      <c r="L258" s="5" t="str">
        <f>IFERROR(IF(VLOOKUP(Tbl_Donnees[[#This Row],[Référence]]&amp;"",Tbl_Catalogue[],10,FALSE)=0,"-",VLOOKUP(Tbl_Donnees[[#This Row],[Référence]]&amp;"",Tbl_Catalogue[],10,FALSE)),"-")</f>
        <v>-</v>
      </c>
      <c r="M258" s="2" t="str">
        <f>IFERROR(IF(VLOOKUP(Tbl_Donnees[[#This Row],[Référence]]&amp;"",Tbl_Catalogue[],8,FALSE)=0,"-",VLOOKUP(Tbl_Donnees[[#This Row],[Référence]]&amp;"",Tbl_Catalogue[],8,FALSE)),"-")</f>
        <v>-</v>
      </c>
      <c r="N258" s="5" t="str">
        <f>IFERROR(IF(VLOOKUP(Tbl_Donnees[[#This Row],[Référence]]&amp;"",Tbl_Catalogue[],9,FALSE)=0,"-",VLOOKUP(Tbl_Donnees[[#This Row],[Référence]]&amp;"",Tbl_Catalogue[],9,FALSE)),"-")</f>
        <v>-</v>
      </c>
      <c r="O258" s="5" t="str">
        <f>IFERROR(IF(VLOOKUP(Tbl_Donnees[[#This Row],[Référence]]&amp;"",Tbl_Catalogue[],11,FALSE)=0,"-",VLOOKUP(Tbl_Donnees[[#This Row],[Référence]]&amp;"",Tbl_Catalogue[],11,FALSE)),"-")</f>
        <v>-</v>
      </c>
      <c r="P258" s="2" t="str">
        <f>IFERROR(IF(VLOOKUP(Tbl_Donnees[[#This Row],[Référence]]&amp;"",Tbl_Catalogue[],12,FALSE)=0,"-",VLOOKUP(Tbl_Donnees[[#This Row],[Référence]]&amp;"",Tbl_Catalogue[],12,FALSE)),"-")</f>
        <v>-</v>
      </c>
      <c r="Q258" s="13" t="str">
        <f>IFERROR(IF(VLOOKUP(Tbl_Donnees[[#This Row],[Référence]]&amp;"",Tbl_Catalogue[],13,FALSE)=0,"-",VLOOKUP(Tbl_Donnees[[#This Row],[Référence]]&amp;"",Tbl_Catalogue[],13,FALSE)),"-")</f>
        <v>-</v>
      </c>
      <c r="R258" s="2"/>
    </row>
    <row r="259" spans="1:18" x14ac:dyDescent="0.2">
      <c r="A259" s="2" t="s">
        <v>357</v>
      </c>
      <c r="B259" s="5" t="s">
        <v>359</v>
      </c>
      <c r="C259" s="5" t="s">
        <v>140</v>
      </c>
      <c r="D259" s="6" t="str">
        <f>IFERROR(IF(VLOOKUP(Tbl_Donnees[[#This Row],[Référence]]&amp;"",Tbl_Catalogue[],3,FALSE)=0,"-",VLOOKUP(Tbl_Donnees[[#This Row],[Référence]]&amp;"",Tbl_Catalogue[],3,FALSE)),"-")</f>
        <v>COMPOSANT IMI NORGREN</v>
      </c>
      <c r="E259" s="6">
        <v>1</v>
      </c>
      <c r="F259" s="6" t="str">
        <f>IFERROR(IF(VLOOKUP(Tbl_Donnees[[#This Row],[Référence]]&amp;"",Tbl_Catalogue[],2,FALSE)=0,"-",VLOOKUP(Tbl_Donnees[[#This Row],[Référence]]&amp;"",Tbl_Catalogue[],2,FALSE)),"-")</f>
        <v>IMI NORGREN</v>
      </c>
      <c r="G259" s="20" t="s">
        <v>601</v>
      </c>
      <c r="H259" s="6" t="str">
        <f>IFERROR(IF(VLOOKUP(Tbl_Donnees[[#This Row],[Référence]]&amp;"",Tbl_Catalogue[],4,FALSE)=0,"-",VLOOKUP(Tbl_Donnees[[#This Row],[Référence]]&amp;"",Tbl_Catalogue[],4,FALSE)),"-")</f>
        <v>-</v>
      </c>
      <c r="I259" s="2" t="str">
        <f>IFERROR(IF(VLOOKUP(Tbl_Donnees[[#This Row],[Référence]]&amp;"",Tbl_Catalogue[],5,FALSE)=0,"-",VLOOKUP(Tbl_Donnees[[#This Row],[Référence]]&amp;"",Tbl_Catalogue[],5,FALSE)),"INCONNU")</f>
        <v>INCONNU</v>
      </c>
      <c r="J259" s="3" t="str">
        <f>IFERROR(IF(VLOOKUP(Tbl_Donnees[[#This Row],[Référence]]&amp;"",Tbl_Catalogue[],6,FALSE)=0,"-",VLOOKUP(Tbl_Donnees[[#This Row],[Référence]]&amp;"",Tbl_Catalogue[],6,FALSE)),"-")</f>
        <v>-</v>
      </c>
      <c r="K259" s="2" t="str">
        <f>IFERROR(IF(VLOOKUP(Tbl_Donnees[[#This Row],[Référence]]&amp;"",Tbl_Catalogue[],7,FALSE)=0,"-",VLOOKUP(Tbl_Donnees[[#This Row],[Référence]]&amp;"",Tbl_Catalogue[],7,FALSE)),"-")</f>
        <v>INCONNU</v>
      </c>
      <c r="L259" s="5" t="str">
        <f>IFERROR(IF(VLOOKUP(Tbl_Donnees[[#This Row],[Référence]]&amp;"",Tbl_Catalogue[],10,FALSE)=0,"-",VLOOKUP(Tbl_Donnees[[#This Row],[Référence]]&amp;"",Tbl_Catalogue[],10,FALSE)),"-")</f>
        <v>-</v>
      </c>
      <c r="M259" s="2" t="str">
        <f>IFERROR(IF(VLOOKUP(Tbl_Donnees[[#This Row],[Référence]]&amp;"",Tbl_Catalogue[],8,FALSE)=0,"-",VLOOKUP(Tbl_Donnees[[#This Row],[Référence]]&amp;"",Tbl_Catalogue[],8,FALSE)),"-")</f>
        <v>-</v>
      </c>
      <c r="N259" s="5" t="str">
        <f>IFERROR(IF(VLOOKUP(Tbl_Donnees[[#This Row],[Référence]]&amp;"",Tbl_Catalogue[],9,FALSE)=0,"-",VLOOKUP(Tbl_Donnees[[#This Row],[Référence]]&amp;"",Tbl_Catalogue[],9,FALSE)),"-")</f>
        <v>-</v>
      </c>
      <c r="O259" s="5" t="str">
        <f>IFERROR(IF(VLOOKUP(Tbl_Donnees[[#This Row],[Référence]]&amp;"",Tbl_Catalogue[],11,FALSE)=0,"-",VLOOKUP(Tbl_Donnees[[#This Row],[Référence]]&amp;"",Tbl_Catalogue[],11,FALSE)),"-")</f>
        <v>-</v>
      </c>
      <c r="P259" s="2" t="str">
        <f>IFERROR(IF(VLOOKUP(Tbl_Donnees[[#This Row],[Référence]]&amp;"",Tbl_Catalogue[],12,FALSE)=0,"-",VLOOKUP(Tbl_Donnees[[#This Row],[Référence]]&amp;"",Tbl_Catalogue[],12,FALSE)),"-")</f>
        <v>-</v>
      </c>
      <c r="Q259" s="13" t="str">
        <f>IFERROR(IF(VLOOKUP(Tbl_Donnees[[#This Row],[Référence]]&amp;"",Tbl_Catalogue[],13,FALSE)=0,"-",VLOOKUP(Tbl_Donnees[[#This Row],[Référence]]&amp;"",Tbl_Catalogue[],13,FALSE)),"-")</f>
        <v>-</v>
      </c>
      <c r="R259" s="2"/>
    </row>
    <row r="260" spans="1:18" x14ac:dyDescent="0.2">
      <c r="A260" s="2" t="s">
        <v>357</v>
      </c>
      <c r="B260" s="5" t="s">
        <v>359</v>
      </c>
      <c r="C260" s="5" t="s">
        <v>140</v>
      </c>
      <c r="D260" s="6" t="str">
        <f>IFERROR(IF(VLOOKUP(Tbl_Donnees[[#This Row],[Référence]]&amp;"",Tbl_Catalogue[],3,FALSE)=0,"-",VLOOKUP(Tbl_Donnees[[#This Row],[Référence]]&amp;"",Tbl_Catalogue[],3,FALSE)),"-")</f>
        <v>PRESSOSTAT PNEUMATIQUE 18D</v>
      </c>
      <c r="E260" s="6">
        <v>1</v>
      </c>
      <c r="F260" s="6" t="str">
        <f>IFERROR(IF(VLOOKUP(Tbl_Donnees[[#This Row],[Référence]]&amp;"",Tbl_Catalogue[],2,FALSE)=0,"-",VLOOKUP(Tbl_Donnees[[#This Row],[Référence]]&amp;"",Tbl_Catalogue[],2,FALSE)),"-")</f>
        <v>IMI NORGREN</v>
      </c>
      <c r="G260" s="20" t="s">
        <v>724</v>
      </c>
      <c r="H260" s="6" t="str">
        <f>IFERROR(IF(VLOOKUP(Tbl_Donnees[[#This Row],[Référence]]&amp;"",Tbl_Catalogue[],4,FALSE)=0,"-",VLOOKUP(Tbl_Donnees[[#This Row],[Référence]]&amp;"",Tbl_Catalogue[],4,FALSE)),"-")</f>
        <v>Produit Actif</v>
      </c>
      <c r="I260" s="2" t="str">
        <f>IFERROR(IF(VLOOKUP(Tbl_Donnees[[#This Row],[Référence]]&amp;"",Tbl_Catalogue[],5,FALSE)=0,"-",VLOOKUP(Tbl_Donnees[[#This Row],[Référence]]&amp;"",Tbl_Catalogue[],5,FALSE)),"INCONNU")</f>
        <v>ACTIF</v>
      </c>
      <c r="J260" s="3" t="str">
        <f>IFERROR(IF(VLOOKUP(Tbl_Donnees[[#This Row],[Référence]]&amp;"",Tbl_Catalogue[],6,FALSE)=0,"-",VLOOKUP(Tbl_Donnees[[#This Row],[Référence]]&amp;"",Tbl_Catalogue[],6,FALSE)),"-")</f>
        <v>https://www.norgren.com/en/products/extrabase/0880324000000000</v>
      </c>
      <c r="K260" s="2" t="str">
        <f>IFERROR(IF(VLOOKUP(Tbl_Donnees[[#This Row],[Référence]]&amp;"",Tbl_Catalogue[],7,FALSE)=0,"-",VLOOKUP(Tbl_Donnees[[#This Row],[Référence]]&amp;"",Tbl_Catalogue[],7,FALSE)),"-")</f>
        <v>-</v>
      </c>
      <c r="L260" s="5" t="str">
        <f>IFERROR(IF(VLOOKUP(Tbl_Donnees[[#This Row],[Référence]]&amp;"",Tbl_Catalogue[],10,FALSE)=0,"-",VLOOKUP(Tbl_Donnees[[#This Row],[Référence]]&amp;"",Tbl_Catalogue[],10,FALSE)),"-")</f>
        <v>-</v>
      </c>
      <c r="M260" s="2" t="str">
        <f>IFERROR(IF(VLOOKUP(Tbl_Donnees[[#This Row],[Référence]]&amp;"",Tbl_Catalogue[],8,FALSE)=0,"-",VLOOKUP(Tbl_Donnees[[#This Row],[Référence]]&amp;"",Tbl_Catalogue[],8,FALSE)),"-")</f>
        <v>-</v>
      </c>
      <c r="N260" s="5" t="str">
        <f>IFERROR(IF(VLOOKUP(Tbl_Donnees[[#This Row],[Référence]]&amp;"",Tbl_Catalogue[],9,FALSE)=0,"-",VLOOKUP(Tbl_Donnees[[#This Row],[Référence]]&amp;"",Tbl_Catalogue[],9,FALSE)),"-")</f>
        <v>-</v>
      </c>
      <c r="O260" s="5" t="str">
        <f>IFERROR(IF(VLOOKUP(Tbl_Donnees[[#This Row],[Référence]]&amp;"",Tbl_Catalogue[],11,FALSE)=0,"-",VLOOKUP(Tbl_Donnees[[#This Row],[Référence]]&amp;"",Tbl_Catalogue[],11,FALSE)),"-")</f>
        <v>-</v>
      </c>
      <c r="P260" s="2" t="str">
        <f>IFERROR(IF(VLOOKUP(Tbl_Donnees[[#This Row],[Référence]]&amp;"",Tbl_Catalogue[],12,FALSE)=0,"-",VLOOKUP(Tbl_Donnees[[#This Row],[Référence]]&amp;"",Tbl_Catalogue[],12,FALSE)),"-")</f>
        <v>-</v>
      </c>
      <c r="Q260" s="13" t="str">
        <f>IFERROR(IF(VLOOKUP(Tbl_Donnees[[#This Row],[Référence]]&amp;"",Tbl_Catalogue[],13,FALSE)=0,"-",VLOOKUP(Tbl_Donnees[[#This Row],[Référence]]&amp;"",Tbl_Catalogue[],13,FALSE)),"-")</f>
        <v>-</v>
      </c>
      <c r="R260" s="2"/>
    </row>
    <row r="261" spans="1:18" x14ac:dyDescent="0.2">
      <c r="A261" s="2" t="s">
        <v>357</v>
      </c>
      <c r="B261" s="5" t="s">
        <v>359</v>
      </c>
      <c r="C261" s="5" t="s">
        <v>140</v>
      </c>
      <c r="D261" s="6" t="str">
        <f>IFERROR(IF(VLOOKUP(Tbl_Donnees[[#This Row],[Référence]]&amp;"",Tbl_Catalogue[],3,FALSE)=0,"-",VLOOKUP(Tbl_Donnees[[#This Row],[Référence]]&amp;"",Tbl_Catalogue[],3,FALSE)),"-")</f>
        <v>FILTRE/REGULATEUR EXCELON</v>
      </c>
      <c r="E261" s="6">
        <v>1</v>
      </c>
      <c r="F261" s="6" t="str">
        <f>IFERROR(IF(VLOOKUP(Tbl_Donnees[[#This Row],[Référence]]&amp;"",Tbl_Catalogue[],2,FALSE)=0,"-",VLOOKUP(Tbl_Donnees[[#This Row],[Référence]]&amp;"",Tbl_Catalogue[],2,FALSE)),"-")</f>
        <v>IMI NORGREN</v>
      </c>
      <c r="G261" s="20" t="s">
        <v>599</v>
      </c>
      <c r="H261" s="6" t="str">
        <f>IFERROR(IF(VLOOKUP(Tbl_Donnees[[#This Row],[Référence]]&amp;"",Tbl_Catalogue[],4,FALSE)=0,"-",VLOOKUP(Tbl_Donnees[[#This Row],[Référence]]&amp;"",Tbl_Catalogue[],4,FALSE)),"-")</f>
        <v>Produit Actif</v>
      </c>
      <c r="I261" s="2" t="str">
        <f>IFERROR(IF(VLOOKUP(Tbl_Donnees[[#This Row],[Référence]]&amp;"",Tbl_Catalogue[],5,FALSE)=0,"-",VLOOKUP(Tbl_Donnees[[#This Row],[Référence]]&amp;"",Tbl_Catalogue[],5,FALSE)),"INCONNU")</f>
        <v>ACTIF</v>
      </c>
      <c r="J261" s="3" t="str">
        <f>IFERROR(IF(VLOOKUP(Tbl_Donnees[[#This Row],[Référence]]&amp;"",Tbl_Catalogue[],6,FALSE)=0,"-",VLOOKUP(Tbl_Donnees[[#This Row],[Référence]]&amp;"",Tbl_Catalogue[],6,FALSE)),"-")</f>
        <v>https://www.norgren.com/en/products/b72g-2gk-qd3-rmn</v>
      </c>
      <c r="K261" s="2" t="str">
        <f>IFERROR(IF(VLOOKUP(Tbl_Donnees[[#This Row],[Référence]]&amp;"",Tbl_Catalogue[],7,FALSE)=0,"-",VLOOKUP(Tbl_Donnees[[#This Row],[Référence]]&amp;"",Tbl_Catalogue[],7,FALSE)),"-")</f>
        <v>-</v>
      </c>
      <c r="L261" s="5" t="str">
        <f>IFERROR(IF(VLOOKUP(Tbl_Donnees[[#This Row],[Référence]]&amp;"",Tbl_Catalogue[],10,FALSE)=0,"-",VLOOKUP(Tbl_Donnees[[#This Row],[Référence]]&amp;"",Tbl_Catalogue[],10,FALSE)),"-")</f>
        <v>-</v>
      </c>
      <c r="M261" s="2" t="str">
        <f>IFERROR(IF(VLOOKUP(Tbl_Donnees[[#This Row],[Référence]]&amp;"",Tbl_Catalogue[],8,FALSE)=0,"-",VLOOKUP(Tbl_Donnees[[#This Row],[Référence]]&amp;"",Tbl_Catalogue[],8,FALSE)),"-")</f>
        <v>-</v>
      </c>
      <c r="N261" s="5" t="str">
        <f>IFERROR(IF(VLOOKUP(Tbl_Donnees[[#This Row],[Référence]]&amp;"",Tbl_Catalogue[],9,FALSE)=0,"-",VLOOKUP(Tbl_Donnees[[#This Row],[Référence]]&amp;"",Tbl_Catalogue[],9,FALSE)),"-")</f>
        <v>-</v>
      </c>
      <c r="O261" s="5" t="str">
        <f>IFERROR(IF(VLOOKUP(Tbl_Donnees[[#This Row],[Référence]]&amp;"",Tbl_Catalogue[],11,FALSE)=0,"-",VLOOKUP(Tbl_Donnees[[#This Row],[Référence]]&amp;"",Tbl_Catalogue[],11,FALSE)),"-")</f>
        <v>-</v>
      </c>
      <c r="P261" s="2" t="str">
        <f>IFERROR(IF(VLOOKUP(Tbl_Donnees[[#This Row],[Référence]]&amp;"",Tbl_Catalogue[],12,FALSE)=0,"-",VLOOKUP(Tbl_Donnees[[#This Row],[Référence]]&amp;"",Tbl_Catalogue[],12,FALSE)),"-")</f>
        <v>-</v>
      </c>
      <c r="Q261" s="13" t="str">
        <f>IFERROR(IF(VLOOKUP(Tbl_Donnees[[#This Row],[Référence]]&amp;"",Tbl_Catalogue[],13,FALSE)=0,"-",VLOOKUP(Tbl_Donnees[[#This Row],[Référence]]&amp;"",Tbl_Catalogue[],13,FALSE)),"-")</f>
        <v>-</v>
      </c>
      <c r="R261" s="5"/>
    </row>
    <row r="262" spans="1:18" x14ac:dyDescent="0.2">
      <c r="A262" s="2" t="s">
        <v>357</v>
      </c>
      <c r="B262" s="5" t="s">
        <v>359</v>
      </c>
      <c r="C262" s="5" t="s">
        <v>140</v>
      </c>
      <c r="D262" s="6" t="str">
        <f>IFERROR(IF(VLOOKUP(Tbl_Donnees[[#This Row],[Référence]]&amp;"",Tbl_Catalogue[],3,FALSE)=0,"-",VLOOKUP(Tbl_Donnees[[#This Row],[Référence]]&amp;"",Tbl_Catalogue[],3,FALSE)),"-")</f>
        <v>PRESSOSTAT HYDRAULIQUE VR2</v>
      </c>
      <c r="E262" s="6">
        <v>1</v>
      </c>
      <c r="F262" s="6" t="str">
        <f>IFERROR(IF(VLOOKUP(Tbl_Donnees[[#This Row],[Référence]]&amp;"",Tbl_Catalogue[],2,FALSE)=0,"-",VLOOKUP(Tbl_Donnees[[#This Row],[Référence]]&amp;"",Tbl_Catalogue[],2,FALSE)),"-")</f>
        <v>HYDAC</v>
      </c>
      <c r="G262" s="20" t="s">
        <v>577</v>
      </c>
      <c r="H262" s="6" t="str">
        <f>IFERROR(IF(VLOOKUP(Tbl_Donnees[[#This Row],[Référence]]&amp;"",Tbl_Catalogue[],4,FALSE)=0,"-",VLOOKUP(Tbl_Donnees[[#This Row],[Référence]]&amp;"",Tbl_Catalogue[],4,FALSE)),"-")</f>
        <v>Obsolète</v>
      </c>
      <c r="I262" s="2" t="str">
        <f>IFERROR(IF(VLOOKUP(Tbl_Donnees[[#This Row],[Référence]]&amp;"",Tbl_Catalogue[],5,FALSE)=0,"-",VLOOKUP(Tbl_Donnees[[#This Row],[Référence]]&amp;"",Tbl_Catalogue[],5,FALSE)),"INCONNU")</f>
        <v>INCONNU</v>
      </c>
      <c r="J262" s="3" t="str">
        <f>IFERROR(IF(VLOOKUP(Tbl_Donnees[[#This Row],[Référence]]&amp;"",Tbl_Catalogue[],6,FALSE)=0,"-",VLOOKUP(Tbl_Donnees[[#This Row],[Référence]]&amp;"",Tbl_Catalogue[],6,FALSE)),"-")</f>
        <v>-</v>
      </c>
      <c r="K262" s="2" t="str">
        <f>IFERROR(IF(VLOOKUP(Tbl_Donnees[[#This Row],[Référence]]&amp;"",Tbl_Catalogue[],7,FALSE)=0,"-",VLOOKUP(Tbl_Donnees[[#This Row],[Référence]]&amp;"",Tbl_Catalogue[],7,FALSE)),"-")</f>
        <v>INCONNU</v>
      </c>
      <c r="L262" s="5" t="str">
        <f>IFERROR(IF(VLOOKUP(Tbl_Donnees[[#This Row],[Référence]]&amp;"",Tbl_Catalogue[],10,FALSE)=0,"-",VLOOKUP(Tbl_Donnees[[#This Row],[Référence]]&amp;"",Tbl_Catalogue[],10,FALSE)),"-")</f>
        <v>-</v>
      </c>
      <c r="M262" s="2" t="str">
        <f>IFERROR(IF(VLOOKUP(Tbl_Donnees[[#This Row],[Référence]]&amp;"",Tbl_Catalogue[],8,FALSE)=0,"-",VLOOKUP(Tbl_Donnees[[#This Row],[Référence]]&amp;"",Tbl_Catalogue[],8,FALSE)),"-")</f>
        <v>-</v>
      </c>
      <c r="N262" s="5" t="str">
        <f>IFERROR(IF(VLOOKUP(Tbl_Donnees[[#This Row],[Référence]]&amp;"",Tbl_Catalogue[],9,FALSE)=0,"-",VLOOKUP(Tbl_Donnees[[#This Row],[Référence]]&amp;"",Tbl_Catalogue[],9,FALSE)),"-")</f>
        <v>-</v>
      </c>
      <c r="O262" s="5" t="str">
        <f>IFERROR(IF(VLOOKUP(Tbl_Donnees[[#This Row],[Référence]]&amp;"",Tbl_Catalogue[],11,FALSE)=0,"-",VLOOKUP(Tbl_Donnees[[#This Row],[Référence]]&amp;"",Tbl_Catalogue[],11,FALSE)),"-")</f>
        <v>-</v>
      </c>
      <c r="P262" s="2" t="str">
        <f>IFERROR(IF(VLOOKUP(Tbl_Donnees[[#This Row],[Référence]]&amp;"",Tbl_Catalogue[],12,FALSE)=0,"-",VLOOKUP(Tbl_Donnees[[#This Row],[Référence]]&amp;"",Tbl_Catalogue[],12,FALSE)),"-")</f>
        <v>-</v>
      </c>
      <c r="Q262" s="13" t="str">
        <f>IFERROR(IF(VLOOKUP(Tbl_Donnees[[#This Row],[Référence]]&amp;"",Tbl_Catalogue[],13,FALSE)=0,"-",VLOOKUP(Tbl_Donnees[[#This Row],[Référence]]&amp;"",Tbl_Catalogue[],13,FALSE)),"-")</f>
        <v>-</v>
      </c>
      <c r="R262" s="2"/>
    </row>
    <row r="263" spans="1:18" x14ac:dyDescent="0.2">
      <c r="A263" s="2" t="s">
        <v>357</v>
      </c>
      <c r="B263" s="5" t="s">
        <v>359</v>
      </c>
      <c r="C263" s="5" t="s">
        <v>140</v>
      </c>
      <c r="D263" s="6" t="str">
        <f>IFERROR(IF(VLOOKUP(Tbl_Donnees[[#This Row],[Référence]]&amp;"",Tbl_Catalogue[],3,FALSE)=0,"-",VLOOKUP(Tbl_Donnees[[#This Row],[Référence]]&amp;"",Tbl_Catalogue[],3,FALSE)),"-")</f>
        <v>COMPOSANT HYDAC</v>
      </c>
      <c r="E263" s="6">
        <v>1</v>
      </c>
      <c r="F263" s="6" t="str">
        <f>IFERROR(IF(VLOOKUP(Tbl_Donnees[[#This Row],[Référence]]&amp;"",Tbl_Catalogue[],2,FALSE)=0,"-",VLOOKUP(Tbl_Donnees[[#This Row],[Référence]]&amp;"",Tbl_Catalogue[],2,FALSE)),"-")</f>
        <v>HYDAC</v>
      </c>
      <c r="G263" s="20" t="s">
        <v>723</v>
      </c>
      <c r="H263" s="6" t="str">
        <f>IFERROR(IF(VLOOKUP(Tbl_Donnees[[#This Row],[Référence]]&amp;"",Tbl_Catalogue[],4,FALSE)=0,"-",VLOOKUP(Tbl_Donnees[[#This Row],[Référence]]&amp;"",Tbl_Catalogue[],4,FALSE)),"-")</f>
        <v>-</v>
      </c>
      <c r="I263" s="2" t="str">
        <f>IFERROR(IF(VLOOKUP(Tbl_Donnees[[#This Row],[Référence]]&amp;"",Tbl_Catalogue[],5,FALSE)=0,"-",VLOOKUP(Tbl_Donnees[[#This Row],[Référence]]&amp;"",Tbl_Catalogue[],5,FALSE)),"INCONNU")</f>
        <v>INCONNU</v>
      </c>
      <c r="J263" s="3" t="str">
        <f>IFERROR(IF(VLOOKUP(Tbl_Donnees[[#This Row],[Référence]]&amp;"",Tbl_Catalogue[],6,FALSE)=0,"-",VLOOKUP(Tbl_Donnees[[#This Row],[Référence]]&amp;"",Tbl_Catalogue[],6,FALSE)),"-")</f>
        <v>-</v>
      </c>
      <c r="K263" s="2" t="str">
        <f>IFERROR(IF(VLOOKUP(Tbl_Donnees[[#This Row],[Référence]]&amp;"",Tbl_Catalogue[],7,FALSE)=0,"-",VLOOKUP(Tbl_Donnees[[#This Row],[Référence]]&amp;"",Tbl_Catalogue[],7,FALSE)),"-")</f>
        <v>INCONNU</v>
      </c>
      <c r="L263" s="5" t="str">
        <f>IFERROR(IF(VLOOKUP(Tbl_Donnees[[#This Row],[Référence]]&amp;"",Tbl_Catalogue[],10,FALSE)=0,"-",VLOOKUP(Tbl_Donnees[[#This Row],[Référence]]&amp;"",Tbl_Catalogue[],10,FALSE)),"-")</f>
        <v>-</v>
      </c>
      <c r="M263" s="2" t="str">
        <f>IFERROR(IF(VLOOKUP(Tbl_Donnees[[#This Row],[Référence]]&amp;"",Tbl_Catalogue[],8,FALSE)=0,"-",VLOOKUP(Tbl_Donnees[[#This Row],[Référence]]&amp;"",Tbl_Catalogue[],8,FALSE)),"-")</f>
        <v>-</v>
      </c>
      <c r="N263" s="5" t="str">
        <f>IFERROR(IF(VLOOKUP(Tbl_Donnees[[#This Row],[Référence]]&amp;"",Tbl_Catalogue[],9,FALSE)=0,"-",VLOOKUP(Tbl_Donnees[[#This Row],[Référence]]&amp;"",Tbl_Catalogue[],9,FALSE)),"-")</f>
        <v>-</v>
      </c>
      <c r="O263" s="5" t="str">
        <f>IFERROR(IF(VLOOKUP(Tbl_Donnees[[#This Row],[Référence]]&amp;"",Tbl_Catalogue[],11,FALSE)=0,"-",VLOOKUP(Tbl_Donnees[[#This Row],[Référence]]&amp;"",Tbl_Catalogue[],11,FALSE)),"-")</f>
        <v>-</v>
      </c>
      <c r="P263" s="2" t="str">
        <f>IFERROR(IF(VLOOKUP(Tbl_Donnees[[#This Row],[Référence]]&amp;"",Tbl_Catalogue[],12,FALSE)=0,"-",VLOOKUP(Tbl_Donnees[[#This Row],[Référence]]&amp;"",Tbl_Catalogue[],12,FALSE)),"-")</f>
        <v>-</v>
      </c>
      <c r="Q263" s="13" t="str">
        <f>IFERROR(IF(VLOOKUP(Tbl_Donnees[[#This Row],[Référence]]&amp;"",Tbl_Catalogue[],13,FALSE)=0,"-",VLOOKUP(Tbl_Donnees[[#This Row],[Référence]]&amp;"",Tbl_Catalogue[],13,FALSE)),"-")</f>
        <v>-</v>
      </c>
      <c r="R263" s="5"/>
    </row>
    <row r="264" spans="1:18" x14ac:dyDescent="0.2">
      <c r="A264" s="2" t="s">
        <v>357</v>
      </c>
      <c r="B264" s="5" t="s">
        <v>359</v>
      </c>
      <c r="C264" s="5" t="s">
        <v>140</v>
      </c>
      <c r="D264" s="6" t="str">
        <f>IFERROR(IF(VLOOKUP(Tbl_Donnees[[#This Row],[Référence]]&amp;"",Tbl_Catalogue[],3,FALSE)=0,"-",VLOOKUP(Tbl_Donnees[[#This Row],[Référence]]&amp;"",Tbl_Catalogue[],3,FALSE)),"-")</f>
        <v>DISTRIB. MISE EN CIRCUIT MS4</v>
      </c>
      <c r="E264" s="6">
        <v>1</v>
      </c>
      <c r="F264" s="6" t="str">
        <f>IFERROR(IF(VLOOKUP(Tbl_Donnees[[#This Row],[Référence]]&amp;"",Tbl_Catalogue[],2,FALSE)=0,"-",VLOOKUP(Tbl_Donnees[[#This Row],[Référence]]&amp;"",Tbl_Catalogue[],2,FALSE)),"-")</f>
        <v>FESTO</v>
      </c>
      <c r="G264" s="20" t="s">
        <v>569</v>
      </c>
      <c r="H264" s="6" t="str">
        <f>IFERROR(IF(VLOOKUP(Tbl_Donnees[[#This Row],[Référence]]&amp;"",Tbl_Catalogue[],4,FALSE)=0,"-",VLOOKUP(Tbl_Donnees[[#This Row],[Référence]]&amp;"",Tbl_Catalogue[],4,FALSE)),"-")</f>
        <v>Produit Actif</v>
      </c>
      <c r="I264" s="2" t="str">
        <f>IFERROR(IF(VLOOKUP(Tbl_Donnees[[#This Row],[Référence]]&amp;"",Tbl_Catalogue[],5,FALSE)=0,"-",VLOOKUP(Tbl_Donnees[[#This Row],[Référence]]&amp;"",Tbl_Catalogue[],5,FALSE)),"INCONNU")</f>
        <v>ACTIF</v>
      </c>
      <c r="J264" s="3" t="str">
        <f>IFERROR(IF(VLOOKUP(Tbl_Donnees[[#This Row],[Référence]]&amp;"",Tbl_Catalogue[],6,FALSE)=0,"-",VLOOKUP(Tbl_Donnees[[#This Row],[Référence]]&amp;"",Tbl_Catalogue[],6,FALSE)),"-")</f>
        <v>https://www.festo.com/fr/fr/a/541258/?q=541258%7E%3AfestoSortOrderScored</v>
      </c>
      <c r="K264" s="2" t="str">
        <f>IFERROR(IF(VLOOKUP(Tbl_Donnees[[#This Row],[Référence]]&amp;"",Tbl_Catalogue[],7,FALSE)=0,"-",VLOOKUP(Tbl_Donnees[[#This Row],[Référence]]&amp;"",Tbl_Catalogue[],7,FALSE)),"-")</f>
        <v>-</v>
      </c>
      <c r="L264" s="5" t="str">
        <f>IFERROR(IF(VLOOKUP(Tbl_Donnees[[#This Row],[Référence]]&amp;"",Tbl_Catalogue[],10,FALSE)=0,"-",VLOOKUP(Tbl_Donnees[[#This Row],[Référence]]&amp;"",Tbl_Catalogue[],10,FALSE)),"-")</f>
        <v>-</v>
      </c>
      <c r="M264" s="2" t="str">
        <f>IFERROR(IF(VLOOKUP(Tbl_Donnees[[#This Row],[Référence]]&amp;"",Tbl_Catalogue[],8,FALSE)=0,"-",VLOOKUP(Tbl_Donnees[[#This Row],[Référence]]&amp;"",Tbl_Catalogue[],8,FALSE)),"-")</f>
        <v>-</v>
      </c>
      <c r="N264" s="5" t="str">
        <f>IFERROR(IF(VLOOKUP(Tbl_Donnees[[#This Row],[Référence]]&amp;"",Tbl_Catalogue[],9,FALSE)=0,"-",VLOOKUP(Tbl_Donnees[[#This Row],[Référence]]&amp;"",Tbl_Catalogue[],9,FALSE)),"-")</f>
        <v>-</v>
      </c>
      <c r="O264" s="5" t="str">
        <f>IFERROR(IF(VLOOKUP(Tbl_Donnees[[#This Row],[Référence]]&amp;"",Tbl_Catalogue[],11,FALSE)=0,"-",VLOOKUP(Tbl_Donnees[[#This Row],[Référence]]&amp;"",Tbl_Catalogue[],11,FALSE)),"-")</f>
        <v>-</v>
      </c>
      <c r="P264" s="2" t="str">
        <f>IFERROR(IF(VLOOKUP(Tbl_Donnees[[#This Row],[Référence]]&amp;"",Tbl_Catalogue[],12,FALSE)=0,"-",VLOOKUP(Tbl_Donnees[[#This Row],[Référence]]&amp;"",Tbl_Catalogue[],12,FALSE)),"-")</f>
        <v>-</v>
      </c>
      <c r="Q264" s="13" t="str">
        <f>IFERROR(IF(VLOOKUP(Tbl_Donnees[[#This Row],[Référence]]&amp;"",Tbl_Catalogue[],13,FALSE)=0,"-",VLOOKUP(Tbl_Donnees[[#This Row],[Référence]]&amp;"",Tbl_Catalogue[],13,FALSE)),"-")</f>
        <v>-</v>
      </c>
      <c r="R264" s="2"/>
    </row>
    <row r="265" spans="1:18" x14ac:dyDescent="0.2">
      <c r="A265" s="2" t="s">
        <v>357</v>
      </c>
      <c r="B265" s="5" t="s">
        <v>359</v>
      </c>
      <c r="C265" s="5" t="s">
        <v>140</v>
      </c>
      <c r="D265" s="6" t="str">
        <f>IFERROR(IF(VLOOKUP(Tbl_Donnees[[#This Row],[Référence]]&amp;"",Tbl_Catalogue[],3,FALSE)=0,"-",VLOOKUP(Tbl_Donnees[[#This Row],[Référence]]&amp;"",Tbl_Catalogue[],3,FALSE)),"-")</f>
        <v>FILTRE-MANODETENDEUR MS4</v>
      </c>
      <c r="E265" s="6">
        <v>1</v>
      </c>
      <c r="F265" s="6" t="str">
        <f>IFERROR(IF(VLOOKUP(Tbl_Donnees[[#This Row],[Référence]]&amp;"",Tbl_Catalogue[],2,FALSE)=0,"-",VLOOKUP(Tbl_Donnees[[#This Row],[Référence]]&amp;"",Tbl_Catalogue[],2,FALSE)),"-")</f>
        <v>FESTO</v>
      </c>
      <c r="G265" s="20" t="s">
        <v>571</v>
      </c>
      <c r="H265" s="6" t="str">
        <f>IFERROR(IF(VLOOKUP(Tbl_Donnees[[#This Row],[Référence]]&amp;"",Tbl_Catalogue[],4,FALSE)=0,"-",VLOOKUP(Tbl_Donnees[[#This Row],[Référence]]&amp;"",Tbl_Catalogue[],4,FALSE)),"-")</f>
        <v>Produit Actif</v>
      </c>
      <c r="I265" s="2" t="str">
        <f>IFERROR(IF(VLOOKUP(Tbl_Donnees[[#This Row],[Référence]]&amp;"",Tbl_Catalogue[],5,FALSE)=0,"-",VLOOKUP(Tbl_Donnees[[#This Row],[Référence]]&amp;"",Tbl_Catalogue[],5,FALSE)),"INCONNU")</f>
        <v>ACTIF</v>
      </c>
      <c r="J265" s="3" t="str">
        <f>IFERROR(IF(VLOOKUP(Tbl_Donnees[[#This Row],[Référence]]&amp;"",Tbl_Catalogue[],6,FALSE)=0,"-",VLOOKUP(Tbl_Donnees[[#This Row],[Référence]]&amp;"",Tbl_Catalogue[],6,FALSE)),"-")</f>
        <v>https://www.festo.com/fr/fr/a/529156/?q=529156%7E%3AfestoSortOrderScored</v>
      </c>
      <c r="K265" s="2" t="str">
        <f>IFERROR(IF(VLOOKUP(Tbl_Donnees[[#This Row],[Référence]]&amp;"",Tbl_Catalogue[],7,FALSE)=0,"-",VLOOKUP(Tbl_Donnees[[#This Row],[Référence]]&amp;"",Tbl_Catalogue[],7,FALSE)),"-")</f>
        <v>-</v>
      </c>
      <c r="L265" s="5" t="str">
        <f>IFERROR(IF(VLOOKUP(Tbl_Donnees[[#This Row],[Référence]]&amp;"",Tbl_Catalogue[],10,FALSE)=0,"-",VLOOKUP(Tbl_Donnees[[#This Row],[Référence]]&amp;"",Tbl_Catalogue[],10,FALSE)),"-")</f>
        <v>-</v>
      </c>
      <c r="M265" s="2" t="str">
        <f>IFERROR(IF(VLOOKUP(Tbl_Donnees[[#This Row],[Référence]]&amp;"",Tbl_Catalogue[],8,FALSE)=0,"-",VLOOKUP(Tbl_Donnees[[#This Row],[Référence]]&amp;"",Tbl_Catalogue[],8,FALSE)),"-")</f>
        <v>-</v>
      </c>
      <c r="N265" s="5" t="str">
        <f>IFERROR(IF(VLOOKUP(Tbl_Donnees[[#This Row],[Référence]]&amp;"",Tbl_Catalogue[],9,FALSE)=0,"-",VLOOKUP(Tbl_Donnees[[#This Row],[Référence]]&amp;"",Tbl_Catalogue[],9,FALSE)),"-")</f>
        <v>-</v>
      </c>
      <c r="O265" s="5" t="str">
        <f>IFERROR(IF(VLOOKUP(Tbl_Donnees[[#This Row],[Référence]]&amp;"",Tbl_Catalogue[],11,FALSE)=0,"-",VLOOKUP(Tbl_Donnees[[#This Row],[Référence]]&amp;"",Tbl_Catalogue[],11,FALSE)),"-")</f>
        <v>-</v>
      </c>
      <c r="P265" s="2" t="str">
        <f>IFERROR(IF(VLOOKUP(Tbl_Donnees[[#This Row],[Référence]]&amp;"",Tbl_Catalogue[],12,FALSE)=0,"-",VLOOKUP(Tbl_Donnees[[#This Row],[Référence]]&amp;"",Tbl_Catalogue[],12,FALSE)),"-")</f>
        <v>-</v>
      </c>
      <c r="Q265" s="13" t="str">
        <f>IFERROR(IF(VLOOKUP(Tbl_Donnees[[#This Row],[Référence]]&amp;"",Tbl_Catalogue[],13,FALSE)=0,"-",VLOOKUP(Tbl_Donnees[[#This Row],[Référence]]&amp;"",Tbl_Catalogue[],13,FALSE)),"-")</f>
        <v>-</v>
      </c>
      <c r="R265" s="5"/>
    </row>
    <row r="266" spans="1:18" x14ac:dyDescent="0.2">
      <c r="A266" s="2" t="s">
        <v>357</v>
      </c>
      <c r="B266" s="5" t="s">
        <v>359</v>
      </c>
      <c r="C266" s="5" t="s">
        <v>140</v>
      </c>
      <c r="D266" s="6" t="str">
        <f>IFERROR(IF(VLOOKUP(Tbl_Donnees[[#This Row],[Référence]]&amp;"",Tbl_Catalogue[],3,FALSE)=0,"-",VLOOKUP(Tbl_Donnees[[#This Row],[Référence]]&amp;"",Tbl_Catalogue[],3,FALSE)),"-")</f>
        <v>LUBRIFICATEUR MS4</v>
      </c>
      <c r="E266" s="6">
        <v>1</v>
      </c>
      <c r="F266" s="6" t="str">
        <f>IFERROR(IF(VLOOKUP(Tbl_Donnees[[#This Row],[Référence]]&amp;"",Tbl_Catalogue[],2,FALSE)=0,"-",VLOOKUP(Tbl_Donnees[[#This Row],[Référence]]&amp;"",Tbl_Catalogue[],2,FALSE)),"-")</f>
        <v>FESTO</v>
      </c>
      <c r="G266" s="20" t="s">
        <v>573</v>
      </c>
      <c r="H266" s="6" t="str">
        <f>IFERROR(IF(VLOOKUP(Tbl_Donnees[[#This Row],[Référence]]&amp;"",Tbl_Catalogue[],4,FALSE)=0,"-",VLOOKUP(Tbl_Donnees[[#This Row],[Référence]]&amp;"",Tbl_Catalogue[],4,FALSE)),"-")</f>
        <v>Produit Actif</v>
      </c>
      <c r="I266" s="2" t="str">
        <f>IFERROR(IF(VLOOKUP(Tbl_Donnees[[#This Row],[Référence]]&amp;"",Tbl_Catalogue[],5,FALSE)=0,"-",VLOOKUP(Tbl_Donnees[[#This Row],[Référence]]&amp;"",Tbl_Catalogue[],5,FALSE)),"INCONNU")</f>
        <v>ACTIF</v>
      </c>
      <c r="J266" s="3" t="str">
        <f>IFERROR(IF(VLOOKUP(Tbl_Donnees[[#This Row],[Référence]]&amp;"",Tbl_Catalogue[],6,FALSE)=0,"-",VLOOKUP(Tbl_Donnees[[#This Row],[Référence]]&amp;"",Tbl_Catalogue[],6,FALSE)),"-")</f>
        <v>https://www.festo.com/fr/fr/a/529411/?q=529411%7E%3AfestoSortOrderScored</v>
      </c>
      <c r="K266" s="2" t="str">
        <f>IFERROR(IF(VLOOKUP(Tbl_Donnees[[#This Row],[Référence]]&amp;"",Tbl_Catalogue[],7,FALSE)=0,"-",VLOOKUP(Tbl_Donnees[[#This Row],[Référence]]&amp;"",Tbl_Catalogue[],7,FALSE)),"-")</f>
        <v>-</v>
      </c>
      <c r="L266" s="5" t="str">
        <f>IFERROR(IF(VLOOKUP(Tbl_Donnees[[#This Row],[Référence]]&amp;"",Tbl_Catalogue[],10,FALSE)=0,"-",VLOOKUP(Tbl_Donnees[[#This Row],[Référence]]&amp;"",Tbl_Catalogue[],10,FALSE)),"-")</f>
        <v>-</v>
      </c>
      <c r="M266" s="2" t="str">
        <f>IFERROR(IF(VLOOKUP(Tbl_Donnees[[#This Row],[Référence]]&amp;"",Tbl_Catalogue[],8,FALSE)=0,"-",VLOOKUP(Tbl_Donnees[[#This Row],[Référence]]&amp;"",Tbl_Catalogue[],8,FALSE)),"-")</f>
        <v>-</v>
      </c>
      <c r="N266" s="5" t="str">
        <f>IFERROR(IF(VLOOKUP(Tbl_Donnees[[#This Row],[Référence]]&amp;"",Tbl_Catalogue[],9,FALSE)=0,"-",VLOOKUP(Tbl_Donnees[[#This Row],[Référence]]&amp;"",Tbl_Catalogue[],9,FALSE)),"-")</f>
        <v>-</v>
      </c>
      <c r="O266" s="5" t="str">
        <f>IFERROR(IF(VLOOKUP(Tbl_Donnees[[#This Row],[Référence]]&amp;"",Tbl_Catalogue[],11,FALSE)=0,"-",VLOOKUP(Tbl_Donnees[[#This Row],[Référence]]&amp;"",Tbl_Catalogue[],11,FALSE)),"-")</f>
        <v>-</v>
      </c>
      <c r="P266" s="2" t="str">
        <f>IFERROR(IF(VLOOKUP(Tbl_Donnees[[#This Row],[Référence]]&amp;"",Tbl_Catalogue[],12,FALSE)=0,"-",VLOOKUP(Tbl_Donnees[[#This Row],[Référence]]&amp;"",Tbl_Catalogue[],12,FALSE)),"-")</f>
        <v>-</v>
      </c>
      <c r="Q266" s="13" t="str">
        <f>IFERROR(IF(VLOOKUP(Tbl_Donnees[[#This Row],[Référence]]&amp;"",Tbl_Catalogue[],13,FALSE)=0,"-",VLOOKUP(Tbl_Donnees[[#This Row],[Référence]]&amp;"",Tbl_Catalogue[],13,FALSE)),"-")</f>
        <v>-</v>
      </c>
      <c r="R266" s="2"/>
    </row>
    <row r="267" spans="1:18" x14ac:dyDescent="0.2">
      <c r="A267" s="2" t="s">
        <v>357</v>
      </c>
      <c r="B267" s="5" t="s">
        <v>359</v>
      </c>
      <c r="C267" s="5" t="s">
        <v>140</v>
      </c>
      <c r="D267" s="6" t="str">
        <f>IFERROR(IF(VLOOKUP(Tbl_Donnees[[#This Row],[Référence]]&amp;"",Tbl_Catalogue[],3,FALSE)=0,"-",VLOOKUP(Tbl_Donnees[[#This Row],[Référence]]&amp;"",Tbl_Catalogue[],3,FALSE)),"-")</f>
        <v>MODULE DE DERIVATION MS4</v>
      </c>
      <c r="E267" s="6">
        <v>1</v>
      </c>
      <c r="F267" s="6" t="str">
        <f>IFERROR(IF(VLOOKUP(Tbl_Donnees[[#This Row],[Référence]]&amp;"",Tbl_Catalogue[],2,FALSE)=0,"-",VLOOKUP(Tbl_Donnees[[#This Row],[Référence]]&amp;"",Tbl_Catalogue[],2,FALSE)),"-")</f>
        <v>FESTO</v>
      </c>
      <c r="G267" s="20" t="s">
        <v>575</v>
      </c>
      <c r="H267" s="6" t="str">
        <f>IFERROR(IF(VLOOKUP(Tbl_Donnees[[#This Row],[Référence]]&amp;"",Tbl_Catalogue[],4,FALSE)=0,"-",VLOOKUP(Tbl_Donnees[[#This Row],[Référence]]&amp;"",Tbl_Catalogue[],4,FALSE)),"-")</f>
        <v>Produit Actif</v>
      </c>
      <c r="I267" s="2" t="str">
        <f>IFERROR(IF(VLOOKUP(Tbl_Donnees[[#This Row],[Référence]]&amp;"",Tbl_Catalogue[],5,FALSE)=0,"-",VLOOKUP(Tbl_Donnees[[#This Row],[Référence]]&amp;"",Tbl_Catalogue[],5,FALSE)),"INCONNU")</f>
        <v>ACTIF</v>
      </c>
      <c r="J267" s="3" t="str">
        <f>IFERROR(IF(VLOOKUP(Tbl_Donnees[[#This Row],[Référence]]&amp;"",Tbl_Catalogue[],6,FALSE)=0,"-",VLOOKUP(Tbl_Donnees[[#This Row],[Référence]]&amp;"",Tbl_Catalogue[],6,FALSE)),"-")</f>
        <v>https://www.festo.com/fr/fr/a/529556/?q=MS4-FRM-1%2F4-Y%7E%3AfestoSortOrderScored</v>
      </c>
      <c r="K267" s="2" t="str">
        <f>IFERROR(IF(VLOOKUP(Tbl_Donnees[[#This Row],[Référence]]&amp;"",Tbl_Catalogue[],7,FALSE)=0,"-",VLOOKUP(Tbl_Donnees[[#This Row],[Référence]]&amp;"",Tbl_Catalogue[],7,FALSE)),"-")</f>
        <v>-</v>
      </c>
      <c r="L267" s="5" t="str">
        <f>IFERROR(IF(VLOOKUP(Tbl_Donnees[[#This Row],[Référence]]&amp;"",Tbl_Catalogue[],10,FALSE)=0,"-",VLOOKUP(Tbl_Donnees[[#This Row],[Référence]]&amp;"",Tbl_Catalogue[],10,FALSE)),"-")</f>
        <v>-</v>
      </c>
      <c r="M267" s="2" t="str">
        <f>IFERROR(IF(VLOOKUP(Tbl_Donnees[[#This Row],[Référence]]&amp;"",Tbl_Catalogue[],8,FALSE)=0,"-",VLOOKUP(Tbl_Donnees[[#This Row],[Référence]]&amp;"",Tbl_Catalogue[],8,FALSE)),"-")</f>
        <v>-</v>
      </c>
      <c r="N267" s="5" t="str">
        <f>IFERROR(IF(VLOOKUP(Tbl_Donnees[[#This Row],[Référence]]&amp;"",Tbl_Catalogue[],9,FALSE)=0,"-",VLOOKUP(Tbl_Donnees[[#This Row],[Référence]]&amp;"",Tbl_Catalogue[],9,FALSE)),"-")</f>
        <v>-</v>
      </c>
      <c r="O267" s="5" t="str">
        <f>IFERROR(IF(VLOOKUP(Tbl_Donnees[[#This Row],[Référence]]&amp;"",Tbl_Catalogue[],11,FALSE)=0,"-",VLOOKUP(Tbl_Donnees[[#This Row],[Référence]]&amp;"",Tbl_Catalogue[],11,FALSE)),"-")</f>
        <v>-</v>
      </c>
      <c r="P267" s="2" t="str">
        <f>IFERROR(IF(VLOOKUP(Tbl_Donnees[[#This Row],[Référence]]&amp;"",Tbl_Catalogue[],12,FALSE)=0,"-",VLOOKUP(Tbl_Donnees[[#This Row],[Référence]]&amp;"",Tbl_Catalogue[],12,FALSE)),"-")</f>
        <v>-</v>
      </c>
      <c r="Q267" s="13" t="str">
        <f>IFERROR(IF(VLOOKUP(Tbl_Donnees[[#This Row],[Référence]]&amp;"",Tbl_Catalogue[],13,FALSE)=0,"-",VLOOKUP(Tbl_Donnees[[#This Row],[Référence]]&amp;"",Tbl_Catalogue[],13,FALSE)),"-")</f>
        <v>-</v>
      </c>
      <c r="R267" s="5"/>
    </row>
    <row r="268" spans="1:18" x14ac:dyDescent="0.2">
      <c r="A268" s="2" t="s">
        <v>357</v>
      </c>
      <c r="B268" s="5" t="s">
        <v>359</v>
      </c>
      <c r="C268" s="5" t="s">
        <v>140</v>
      </c>
      <c r="D268" s="6" t="str">
        <f>IFERROR(IF(VLOOKUP(Tbl_Donnees[[#This Row],[Référence]]&amp;"",Tbl_Catalogue[],3,FALSE)=0,"-",VLOOKUP(Tbl_Donnees[[#This Row],[Référence]]&amp;"",Tbl_Catalogue[],3,FALSE)),"-")</f>
        <v>VANNE DIRECTIONNELLE HYD.</v>
      </c>
      <c r="E268" s="6">
        <v>1</v>
      </c>
      <c r="F268" s="6" t="str">
        <f>IFERROR(IF(VLOOKUP(Tbl_Donnees[[#This Row],[Référence]]&amp;"",Tbl_Catalogue[],2,FALSE)=0,"-",VLOOKUP(Tbl_Donnees[[#This Row],[Référence]]&amp;"",Tbl_Catalogue[],2,FALSE)),"-")</f>
        <v>EMERSON (AVENTICS)</v>
      </c>
      <c r="G268" s="20" t="s">
        <v>579</v>
      </c>
      <c r="H268" s="6" t="str">
        <f>IFERROR(IF(VLOOKUP(Tbl_Donnees[[#This Row],[Référence]]&amp;"",Tbl_Catalogue[],4,FALSE)=0,"-",VLOOKUP(Tbl_Donnees[[#This Row],[Référence]]&amp;"",Tbl_Catalogue[],4,FALSE)),"-")</f>
        <v>-</v>
      </c>
      <c r="I268" s="2" t="str">
        <f>IFERROR(IF(VLOOKUP(Tbl_Donnees[[#This Row],[Référence]]&amp;"",Tbl_Catalogue[],5,FALSE)=0,"-",VLOOKUP(Tbl_Donnees[[#This Row],[Référence]]&amp;"",Tbl_Catalogue[],5,FALSE)),"INCONNU")</f>
        <v>INCONNU</v>
      </c>
      <c r="J268" s="3" t="str">
        <f>IFERROR(IF(VLOOKUP(Tbl_Donnees[[#This Row],[Référence]]&amp;"",Tbl_Catalogue[],6,FALSE)=0,"-",VLOOKUP(Tbl_Donnees[[#This Row],[Référence]]&amp;"",Tbl_Catalogue[],6,FALSE)),"-")</f>
        <v>https://discreteautomation.emerson.com/fr/product/aventics-sku-r422002730</v>
      </c>
      <c r="K268" s="2" t="str">
        <f>IFERROR(IF(VLOOKUP(Tbl_Donnees[[#This Row],[Référence]]&amp;"",Tbl_Catalogue[],7,FALSE)=0,"-",VLOOKUP(Tbl_Donnees[[#This Row],[Référence]]&amp;"",Tbl_Catalogue[],7,FALSE)),"-")</f>
        <v>INCONNU</v>
      </c>
      <c r="L268" s="5" t="str">
        <f>IFERROR(IF(VLOOKUP(Tbl_Donnees[[#This Row],[Référence]]&amp;"",Tbl_Catalogue[],10,FALSE)=0,"-",VLOOKUP(Tbl_Donnees[[#This Row],[Référence]]&amp;"",Tbl_Catalogue[],10,FALSE)),"-")</f>
        <v>-</v>
      </c>
      <c r="M268" s="2" t="str">
        <f>IFERROR(IF(VLOOKUP(Tbl_Donnees[[#This Row],[Référence]]&amp;"",Tbl_Catalogue[],8,FALSE)=0,"-",VLOOKUP(Tbl_Donnees[[#This Row],[Référence]]&amp;"",Tbl_Catalogue[],8,FALSE)),"-")</f>
        <v>-</v>
      </c>
      <c r="N268" s="5" t="str">
        <f>IFERROR(IF(VLOOKUP(Tbl_Donnees[[#This Row],[Référence]]&amp;"",Tbl_Catalogue[],9,FALSE)=0,"-",VLOOKUP(Tbl_Donnees[[#This Row],[Référence]]&amp;"",Tbl_Catalogue[],9,FALSE)),"-")</f>
        <v>-</v>
      </c>
      <c r="O268" s="5" t="str">
        <f>IFERROR(IF(VLOOKUP(Tbl_Donnees[[#This Row],[Référence]]&amp;"",Tbl_Catalogue[],11,FALSE)=0,"-",VLOOKUP(Tbl_Donnees[[#This Row],[Référence]]&amp;"",Tbl_Catalogue[],11,FALSE)),"-")</f>
        <v>-</v>
      </c>
      <c r="P268" s="2" t="str">
        <f>IFERROR(IF(VLOOKUP(Tbl_Donnees[[#This Row],[Référence]]&amp;"",Tbl_Catalogue[],12,FALSE)=0,"-",VLOOKUP(Tbl_Donnees[[#This Row],[Référence]]&amp;"",Tbl_Catalogue[],12,FALSE)),"-")</f>
        <v>-</v>
      </c>
      <c r="Q268" s="13" t="str">
        <f>IFERROR(IF(VLOOKUP(Tbl_Donnees[[#This Row],[Référence]]&amp;"",Tbl_Catalogue[],13,FALSE)=0,"-",VLOOKUP(Tbl_Donnees[[#This Row],[Référence]]&amp;"",Tbl_Catalogue[],13,FALSE)),"-")</f>
        <v>-</v>
      </c>
      <c r="R268" s="2"/>
    </row>
    <row r="269" spans="1:18" x14ac:dyDescent="0.2">
      <c r="A269" s="2" t="s">
        <v>357</v>
      </c>
      <c r="B269" s="5" t="s">
        <v>359</v>
      </c>
      <c r="C269" s="5" t="s">
        <v>140</v>
      </c>
      <c r="D269" s="6" t="str">
        <f>IFERROR(IF(VLOOKUP(Tbl_Donnees[[#This Row],[Référence]]&amp;"",Tbl_Catalogue[],3,FALSE)=0,"-",VLOOKUP(Tbl_Donnees[[#This Row],[Référence]]&amp;"",Tbl_Catalogue[],3,FALSE)),"-")</f>
        <v>DISTRIBUTEUR 5/2 WV02</v>
      </c>
      <c r="E269" s="6">
        <v>1</v>
      </c>
      <c r="F269" s="6" t="str">
        <f>IFERROR(IF(VLOOKUP(Tbl_Donnees[[#This Row],[Référence]]&amp;"",Tbl_Catalogue[],2,FALSE)=0,"-",VLOOKUP(Tbl_Donnees[[#This Row],[Référence]]&amp;"",Tbl_Catalogue[],2,FALSE)),"-")</f>
        <v>EMERSON (AVENTICS)</v>
      </c>
      <c r="G269" s="20" t="s">
        <v>720</v>
      </c>
      <c r="H269" s="6" t="str">
        <f>IFERROR(IF(VLOOKUP(Tbl_Donnees[[#This Row],[Référence]]&amp;"",Tbl_Catalogue[],4,FALSE)=0,"-",VLOOKUP(Tbl_Donnees[[#This Row],[Référence]]&amp;"",Tbl_Catalogue[],4,FALSE)),"-")</f>
        <v>-</v>
      </c>
      <c r="I269" s="2" t="str">
        <f>IFERROR(IF(VLOOKUP(Tbl_Donnees[[#This Row],[Référence]]&amp;"",Tbl_Catalogue[],5,FALSE)=0,"-",VLOOKUP(Tbl_Donnees[[#This Row],[Référence]]&amp;"",Tbl_Catalogue[],5,FALSE)),"INCONNU")</f>
        <v>INCONNU</v>
      </c>
      <c r="J269" s="3" t="str">
        <f>IFERROR(IF(VLOOKUP(Tbl_Donnees[[#This Row],[Référence]]&amp;"",Tbl_Catalogue[],6,FALSE)=0,"-",VLOOKUP(Tbl_Donnees[[#This Row],[Référence]]&amp;"",Tbl_Catalogue[],6,FALSE)),"-")</f>
        <v>https://discreteautomation.emerson.com/fr/product/aventics-sku-0820038602</v>
      </c>
      <c r="K269" s="2" t="str">
        <f>IFERROR(IF(VLOOKUP(Tbl_Donnees[[#This Row],[Référence]]&amp;"",Tbl_Catalogue[],7,FALSE)=0,"-",VLOOKUP(Tbl_Donnees[[#This Row],[Référence]]&amp;"",Tbl_Catalogue[],7,FALSE)),"-")</f>
        <v>INCONNU</v>
      </c>
      <c r="L269" s="5" t="str">
        <f>IFERROR(IF(VLOOKUP(Tbl_Donnees[[#This Row],[Référence]]&amp;"",Tbl_Catalogue[],10,FALSE)=0,"-",VLOOKUP(Tbl_Donnees[[#This Row],[Référence]]&amp;"",Tbl_Catalogue[],10,FALSE)),"-")</f>
        <v>-</v>
      </c>
      <c r="M269" s="2" t="str">
        <f>IFERROR(IF(VLOOKUP(Tbl_Donnees[[#This Row],[Référence]]&amp;"",Tbl_Catalogue[],8,FALSE)=0,"-",VLOOKUP(Tbl_Donnees[[#This Row],[Référence]]&amp;"",Tbl_Catalogue[],8,FALSE)),"-")</f>
        <v>-</v>
      </c>
      <c r="N269" s="5" t="str">
        <f>IFERROR(IF(VLOOKUP(Tbl_Donnees[[#This Row],[Référence]]&amp;"",Tbl_Catalogue[],9,FALSE)=0,"-",VLOOKUP(Tbl_Donnees[[#This Row],[Référence]]&amp;"",Tbl_Catalogue[],9,FALSE)),"-")</f>
        <v>-</v>
      </c>
      <c r="O269" s="5" t="str">
        <f>IFERROR(IF(VLOOKUP(Tbl_Donnees[[#This Row],[Référence]]&amp;"",Tbl_Catalogue[],11,FALSE)=0,"-",VLOOKUP(Tbl_Donnees[[#This Row],[Référence]]&amp;"",Tbl_Catalogue[],11,FALSE)),"-")</f>
        <v>-</v>
      </c>
      <c r="P269" s="2" t="str">
        <f>IFERROR(IF(VLOOKUP(Tbl_Donnees[[#This Row],[Référence]]&amp;"",Tbl_Catalogue[],12,FALSE)=0,"-",VLOOKUP(Tbl_Donnees[[#This Row],[Référence]]&amp;"",Tbl_Catalogue[],12,FALSE)),"-")</f>
        <v>-</v>
      </c>
      <c r="Q269" s="13" t="str">
        <f>IFERROR(IF(VLOOKUP(Tbl_Donnees[[#This Row],[Référence]]&amp;"",Tbl_Catalogue[],13,FALSE)=0,"-",VLOOKUP(Tbl_Donnees[[#This Row],[Référence]]&amp;"",Tbl_Catalogue[],13,FALSE)),"-")</f>
        <v>-</v>
      </c>
      <c r="R269" s="5"/>
    </row>
    <row r="270" spans="1:18" x14ac:dyDescent="0.2">
      <c r="A270" s="2" t="s">
        <v>357</v>
      </c>
      <c r="B270" s="5" t="s">
        <v>359</v>
      </c>
      <c r="C270" s="5" t="s">
        <v>140</v>
      </c>
      <c r="D270" s="6" t="str">
        <f>IFERROR(IF(VLOOKUP(Tbl_Donnees[[#This Row],[Référence]]&amp;"",Tbl_Catalogue[],3,FALSE)=0,"-",VLOOKUP(Tbl_Donnees[[#This Row],[Référence]]&amp;"",Tbl_Catalogue[],3,FALSE)),"-")</f>
        <v>BOBINE SOLENOIDE NG6</v>
      </c>
      <c r="E270" s="6">
        <v>1</v>
      </c>
      <c r="F270" s="6" t="str">
        <f>IFERROR(IF(VLOOKUP(Tbl_Donnees[[#This Row],[Référence]]&amp;"",Tbl_Catalogue[],2,FALSE)=0,"-",VLOOKUP(Tbl_Donnees[[#This Row],[Référence]]&amp;"",Tbl_Catalogue[],2,FALSE)),"-")</f>
        <v>BOSCH REXROTH</v>
      </c>
      <c r="G270" s="20" t="s">
        <v>715</v>
      </c>
      <c r="H270" s="6" t="str">
        <f>IFERROR(IF(VLOOKUP(Tbl_Donnees[[#This Row],[Référence]]&amp;"",Tbl_Catalogue[],4,FALSE)=0,"-",VLOOKUP(Tbl_Donnees[[#This Row],[Référence]]&amp;"",Tbl_Catalogue[],4,FALSE)),"-")</f>
        <v>Produit en fin de vie</v>
      </c>
      <c r="I270" s="2" t="str">
        <f>IFERROR(IF(VLOOKUP(Tbl_Donnees[[#This Row],[Référence]]&amp;"",Tbl_Catalogue[],5,FALSE)=0,"-",VLOOKUP(Tbl_Donnees[[#This Row],[Référence]]&amp;"",Tbl_Catalogue[],5,FALSE)),"INCONNU")</f>
        <v>OBSOLETE</v>
      </c>
      <c r="J270" s="3" t="str">
        <f>IFERROR(IF(VLOOKUP(Tbl_Donnees[[#This Row],[Référence]]&amp;"",Tbl_Catalogue[],6,FALSE)=0,"-",VLOOKUP(Tbl_Donnees[[#This Row],[Référence]]&amp;"",Tbl_Catalogue[],6,FALSE)),"-")</f>
        <v>https://store.boschrexroth.com/fr/fr/p/1837001227</v>
      </c>
      <c r="K270" s="2" t="str">
        <f>IFERROR(IF(VLOOKUP(Tbl_Donnees[[#This Row],[Référence]]&amp;"",Tbl_Catalogue[],7,FALSE)=0,"-",VLOOKUP(Tbl_Donnees[[#This Row],[Référence]]&amp;"",Tbl_Catalogue[],7,FALSE)),"-")</f>
        <v>INCONNU</v>
      </c>
      <c r="L270" s="5" t="str">
        <f>IFERROR(IF(VLOOKUP(Tbl_Donnees[[#This Row],[Référence]]&amp;"",Tbl_Catalogue[],10,FALSE)=0,"-",VLOOKUP(Tbl_Donnees[[#This Row],[Référence]]&amp;"",Tbl_Catalogue[],10,FALSE)),"-")</f>
        <v>-</v>
      </c>
      <c r="M270" s="2" t="str">
        <f>IFERROR(IF(VLOOKUP(Tbl_Donnees[[#This Row],[Référence]]&amp;"",Tbl_Catalogue[],8,FALSE)=0,"-",VLOOKUP(Tbl_Donnees[[#This Row],[Référence]]&amp;"",Tbl_Catalogue[],8,FALSE)),"-")</f>
        <v>-</v>
      </c>
      <c r="N270" s="5" t="str">
        <f>IFERROR(IF(VLOOKUP(Tbl_Donnees[[#This Row],[Référence]]&amp;"",Tbl_Catalogue[],9,FALSE)=0,"-",VLOOKUP(Tbl_Donnees[[#This Row],[Référence]]&amp;"",Tbl_Catalogue[],9,FALSE)),"-")</f>
        <v>-</v>
      </c>
      <c r="O270" s="5" t="str">
        <f>IFERROR(IF(VLOOKUP(Tbl_Donnees[[#This Row],[Référence]]&amp;"",Tbl_Catalogue[],11,FALSE)=0,"-",VLOOKUP(Tbl_Donnees[[#This Row],[Référence]]&amp;"",Tbl_Catalogue[],11,FALSE)),"-")</f>
        <v>-</v>
      </c>
      <c r="P270" s="2" t="str">
        <f>IFERROR(IF(VLOOKUP(Tbl_Donnees[[#This Row],[Référence]]&amp;"",Tbl_Catalogue[],12,FALSE)=0,"-",VLOOKUP(Tbl_Donnees[[#This Row],[Référence]]&amp;"",Tbl_Catalogue[],12,FALSE)),"-")</f>
        <v>-</v>
      </c>
      <c r="Q270" s="13" t="str">
        <f>IFERROR(IF(VLOOKUP(Tbl_Donnees[[#This Row],[Référence]]&amp;"",Tbl_Catalogue[],13,FALSE)=0,"-",VLOOKUP(Tbl_Donnees[[#This Row],[Référence]]&amp;"",Tbl_Catalogue[],13,FALSE)),"-")</f>
        <v>-</v>
      </c>
      <c r="R270" s="5"/>
    </row>
    <row r="271" spans="1:18" x14ac:dyDescent="0.2">
      <c r="A271" s="2" t="s">
        <v>357</v>
      </c>
      <c r="B271" s="5" t="s">
        <v>359</v>
      </c>
      <c r="C271" s="5" t="s">
        <v>140</v>
      </c>
      <c r="D271" s="6" t="str">
        <f>IFERROR(IF(VLOOKUP(Tbl_Donnees[[#This Row],[Référence]]&amp;"",Tbl_Catalogue[],3,FALSE)=0,"-",VLOOKUP(Tbl_Donnees[[#This Row],[Référence]]&amp;"",Tbl_Catalogue[],3,FALSE)),"-")</f>
        <v>DISTRIB. DIRECT. 4WE6E1X</v>
      </c>
      <c r="E271" s="6">
        <v>1</v>
      </c>
      <c r="F271" s="6" t="str">
        <f>IFERROR(IF(VLOOKUP(Tbl_Donnees[[#This Row],[Référence]]&amp;"",Tbl_Catalogue[],2,FALSE)=0,"-",VLOOKUP(Tbl_Donnees[[#This Row],[Référence]]&amp;"",Tbl_Catalogue[],2,FALSE)),"-")</f>
        <v>BOSCH REXROTH</v>
      </c>
      <c r="G271" s="20" t="s">
        <v>716</v>
      </c>
      <c r="H271" s="6" t="str">
        <f>IFERROR(IF(VLOOKUP(Tbl_Donnees[[#This Row],[Référence]]&amp;"",Tbl_Catalogue[],4,FALSE)=0,"-",VLOOKUP(Tbl_Donnees[[#This Row],[Référence]]&amp;"",Tbl_Catalogue[],4,FALSE)),"-")</f>
        <v>Produit Actif</v>
      </c>
      <c r="I271" s="2" t="str">
        <f>IFERROR(IF(VLOOKUP(Tbl_Donnees[[#This Row],[Référence]]&amp;"",Tbl_Catalogue[],5,FALSE)=0,"-",VLOOKUP(Tbl_Donnees[[#This Row],[Référence]]&amp;"",Tbl_Catalogue[],5,FALSE)),"INCONNU")</f>
        <v>ACTIF</v>
      </c>
      <c r="J271" s="3" t="str">
        <f>IFERROR(IF(VLOOKUP(Tbl_Donnees[[#This Row],[Référence]]&amp;"",Tbl_Catalogue[],6,FALSE)=0,"-",VLOOKUP(Tbl_Donnees[[#This Row],[Référence]]&amp;"",Tbl_Catalogue[],6,FALSE)),"-")</f>
        <v>https://store.boschrexroth.com/en/de/p/0810091203</v>
      </c>
      <c r="K271" s="2" t="str">
        <f>IFERROR(IF(VLOOKUP(Tbl_Donnees[[#This Row],[Référence]]&amp;"",Tbl_Catalogue[],7,FALSE)=0,"-",VLOOKUP(Tbl_Donnees[[#This Row],[Référence]]&amp;"",Tbl_Catalogue[],7,FALSE)),"-")</f>
        <v>INCONNU</v>
      </c>
      <c r="L271" s="5" t="str">
        <f>IFERROR(IF(VLOOKUP(Tbl_Donnees[[#This Row],[Référence]]&amp;"",Tbl_Catalogue[],10,FALSE)=0,"-",VLOOKUP(Tbl_Donnees[[#This Row],[Référence]]&amp;"",Tbl_Catalogue[],10,FALSE)),"-")</f>
        <v>-</v>
      </c>
      <c r="M271" s="2" t="str">
        <f>IFERROR(IF(VLOOKUP(Tbl_Donnees[[#This Row],[Référence]]&amp;"",Tbl_Catalogue[],8,FALSE)=0,"-",VLOOKUP(Tbl_Donnees[[#This Row],[Référence]]&amp;"",Tbl_Catalogue[],8,FALSE)),"-")</f>
        <v>-</v>
      </c>
      <c r="N271" s="5" t="str">
        <f>IFERROR(IF(VLOOKUP(Tbl_Donnees[[#This Row],[Référence]]&amp;"",Tbl_Catalogue[],9,FALSE)=0,"-",VLOOKUP(Tbl_Donnees[[#This Row],[Référence]]&amp;"",Tbl_Catalogue[],9,FALSE)),"-")</f>
        <v>-</v>
      </c>
      <c r="O271" s="5" t="str">
        <f>IFERROR(IF(VLOOKUP(Tbl_Donnees[[#This Row],[Référence]]&amp;"",Tbl_Catalogue[],11,FALSE)=0,"-",VLOOKUP(Tbl_Donnees[[#This Row],[Référence]]&amp;"",Tbl_Catalogue[],11,FALSE)),"-")</f>
        <v>-</v>
      </c>
      <c r="P271" s="2" t="str">
        <f>IFERROR(IF(VLOOKUP(Tbl_Donnees[[#This Row],[Référence]]&amp;"",Tbl_Catalogue[],12,FALSE)=0,"-",VLOOKUP(Tbl_Donnees[[#This Row],[Référence]]&amp;"",Tbl_Catalogue[],12,FALSE)),"-")</f>
        <v>-</v>
      </c>
      <c r="Q271" s="13" t="str">
        <f>IFERROR(IF(VLOOKUP(Tbl_Donnees[[#This Row],[Référence]]&amp;"",Tbl_Catalogue[],13,FALSE)=0,"-",VLOOKUP(Tbl_Donnees[[#This Row],[Référence]]&amp;"",Tbl_Catalogue[],13,FALSE)),"-")</f>
        <v>-</v>
      </c>
      <c r="R271" s="2"/>
    </row>
    <row r="272" spans="1:18" x14ac:dyDescent="0.2">
      <c r="A272" s="2" t="s">
        <v>357</v>
      </c>
      <c r="B272" s="5" t="s">
        <v>359</v>
      </c>
      <c r="C272" s="5" t="s">
        <v>140</v>
      </c>
      <c r="D272" s="6" t="str">
        <f>IFERROR(IF(VLOOKUP(Tbl_Donnees[[#This Row],[Référence]]&amp;"",Tbl_Catalogue[],3,FALSE)=0,"-",VLOOKUP(Tbl_Donnees[[#This Row],[Référence]]&amp;"",Tbl_Catalogue[],3,FALSE)),"-")</f>
        <v>VALVE COMMANDE DIRECT. 4WE6</v>
      </c>
      <c r="E272" s="6">
        <v>1</v>
      </c>
      <c r="F272" s="6" t="str">
        <f>IFERROR(IF(VLOOKUP(Tbl_Donnees[[#This Row],[Référence]]&amp;"",Tbl_Catalogue[],2,FALSE)=0,"-",VLOOKUP(Tbl_Donnees[[#This Row],[Référence]]&amp;"",Tbl_Catalogue[],2,FALSE)),"-")</f>
        <v>BOSCH REXROTH</v>
      </c>
      <c r="G272" s="20" t="s">
        <v>717</v>
      </c>
      <c r="H272" s="6" t="str">
        <f>IFERROR(IF(VLOOKUP(Tbl_Donnees[[#This Row],[Référence]]&amp;"",Tbl_Catalogue[],4,FALSE)=0,"-",VLOOKUP(Tbl_Donnees[[#This Row],[Référence]]&amp;"",Tbl_Catalogue[],4,FALSE)),"-")</f>
        <v>Produit Actif</v>
      </c>
      <c r="I272" s="2" t="str">
        <f>IFERROR(IF(VLOOKUP(Tbl_Donnees[[#This Row],[Référence]]&amp;"",Tbl_Catalogue[],5,FALSE)=0,"-",VLOOKUP(Tbl_Donnees[[#This Row],[Référence]]&amp;"",Tbl_Catalogue[],5,FALSE)),"INCONNU")</f>
        <v>ACTIF</v>
      </c>
      <c r="J272" s="3" t="str">
        <f>IFERROR(IF(VLOOKUP(Tbl_Donnees[[#This Row],[Référence]]&amp;"",Tbl_Catalogue[],6,FALSE)=0,"-",VLOOKUP(Tbl_Donnees[[#This Row],[Référence]]&amp;"",Tbl_Catalogue[],6,FALSE)),"-")</f>
        <v>https://store.boschrexroth.com/en/de/p/0810091227</v>
      </c>
      <c r="K272" s="2" t="str">
        <f>IFERROR(IF(VLOOKUP(Tbl_Donnees[[#This Row],[Référence]]&amp;"",Tbl_Catalogue[],7,FALSE)=0,"-",VLOOKUP(Tbl_Donnees[[#This Row],[Référence]]&amp;"",Tbl_Catalogue[],7,FALSE)),"-")</f>
        <v>INCONNU</v>
      </c>
      <c r="L272" s="5" t="str">
        <f>IFERROR(IF(VLOOKUP(Tbl_Donnees[[#This Row],[Référence]]&amp;"",Tbl_Catalogue[],10,FALSE)=0,"-",VLOOKUP(Tbl_Donnees[[#This Row],[Référence]]&amp;"",Tbl_Catalogue[],10,FALSE)),"-")</f>
        <v>-</v>
      </c>
      <c r="M272" s="2" t="str">
        <f>IFERROR(IF(VLOOKUP(Tbl_Donnees[[#This Row],[Référence]]&amp;"",Tbl_Catalogue[],8,FALSE)=0,"-",VLOOKUP(Tbl_Donnees[[#This Row],[Référence]]&amp;"",Tbl_Catalogue[],8,FALSE)),"-")</f>
        <v>-</v>
      </c>
      <c r="N272" s="5" t="str">
        <f>IFERROR(IF(VLOOKUP(Tbl_Donnees[[#This Row],[Référence]]&amp;"",Tbl_Catalogue[],9,FALSE)=0,"-",VLOOKUP(Tbl_Donnees[[#This Row],[Référence]]&amp;"",Tbl_Catalogue[],9,FALSE)),"-")</f>
        <v>-</v>
      </c>
      <c r="O272" s="5" t="str">
        <f>IFERROR(IF(VLOOKUP(Tbl_Donnees[[#This Row],[Référence]]&amp;"",Tbl_Catalogue[],11,FALSE)=0,"-",VLOOKUP(Tbl_Donnees[[#This Row],[Référence]]&amp;"",Tbl_Catalogue[],11,FALSE)),"-")</f>
        <v>-</v>
      </c>
      <c r="P272" s="2" t="str">
        <f>IFERROR(IF(VLOOKUP(Tbl_Donnees[[#This Row],[Référence]]&amp;"",Tbl_Catalogue[],12,FALSE)=0,"-",VLOOKUP(Tbl_Donnees[[#This Row],[Référence]]&amp;"",Tbl_Catalogue[],12,FALSE)),"-")</f>
        <v>-</v>
      </c>
      <c r="Q272" s="13" t="str">
        <f>IFERROR(IF(VLOOKUP(Tbl_Donnees[[#This Row],[Référence]]&amp;"",Tbl_Catalogue[],13,FALSE)=0,"-",VLOOKUP(Tbl_Donnees[[#This Row],[Référence]]&amp;"",Tbl_Catalogue[],13,FALSE)),"-")</f>
        <v>-</v>
      </c>
      <c r="R272" s="5"/>
    </row>
    <row r="273" spans="1:18" x14ac:dyDescent="0.2">
      <c r="A273" s="2" t="s">
        <v>357</v>
      </c>
      <c r="B273" s="5" t="s">
        <v>731</v>
      </c>
      <c r="C273" s="5" t="s">
        <v>60</v>
      </c>
      <c r="D273" s="6" t="str">
        <f>IFERROR(IF(VLOOKUP(Tbl_Donnees[[#This Row],[Référence]]&amp;"",Tbl_Catalogue[],3,FALSE)=0,"-",VLOOKUP(Tbl_Donnees[[#This Row],[Référence]]&amp;"",Tbl_Catalogue[],3,FALSE)),"-")</f>
        <v>CARTE REGUL. SIMODRIVE 611-D</v>
      </c>
      <c r="E273" s="6">
        <v>1</v>
      </c>
      <c r="F273" s="23" t="str">
        <f>IFERROR(IF(VLOOKUP(Tbl_Donnees[[#This Row],[Référence]]&amp;"",Tbl_Catalogue[],2,FALSE)=0,"-",VLOOKUP(Tbl_Donnees[[#This Row],[Référence]]&amp;"",Tbl_Catalogue[],2,FALSE)),"-")</f>
        <v>SIEMENS</v>
      </c>
      <c r="G273" s="22" t="s">
        <v>386</v>
      </c>
      <c r="H273" s="6" t="str">
        <f>IFERROR(IF(VLOOKUP(Tbl_Donnees[[#This Row],[Référence]]&amp;"",Tbl_Catalogue[],4,FALSE)=0,"-",VLOOKUP(Tbl_Donnees[[#This Row],[Référence]]&amp;"",Tbl_Catalogue[],4,FALSE)),"-")</f>
        <v>PRODUIT OBSOLÈTE (30/09/2018)</v>
      </c>
      <c r="I273" s="24" t="str">
        <f>IFERROR(IF(VLOOKUP(Tbl_Donnees[[#This Row],[Référence]]&amp;"",Tbl_Catalogue[],5,FALSE)=0,"-",VLOOKUP(Tbl_Donnees[[#This Row],[Référence]]&amp;"",Tbl_Catalogue[],5,FALSE)),"INCONNU")</f>
        <v>OBSOLETE</v>
      </c>
      <c r="J273" s="3" t="str">
        <f>IFERROR(IF(VLOOKUP(Tbl_Donnees[[#This Row],[Référence]]&amp;"",Tbl_Catalogue[],6,FALSE)=0,"-",VLOOKUP(Tbl_Donnees[[#This Row],[Référence]]&amp;"",Tbl_Catalogue[],6,FALSE)),"-")</f>
        <v>https://sieportal.siemens.com/fr-fr/products-services/detail/6SN1121-0BA11-0AA1?tree=CatalogTree</v>
      </c>
      <c r="K273" s="24" t="str">
        <f>IFERROR(IF(VLOOKUP(Tbl_Donnees[[#This Row],[Référence]]&amp;"",Tbl_Catalogue[],7,FALSE)=0,"-",VLOOKUP(Tbl_Donnees[[#This Row],[Référence]]&amp;"",Tbl_Catalogue[],7,FALSE)),"-")</f>
        <v>OUI</v>
      </c>
      <c r="L273" s="25" t="str">
        <f>IFERROR(IF(VLOOKUP(Tbl_Donnees[[#This Row],[Référence]]&amp;"",Tbl_Catalogue[],10,FALSE)=0,"-",VLOOKUP(Tbl_Donnees[[#This Row],[Référence]]&amp;"",Tbl_Catalogue[],10,FALSE)),"-")</f>
        <v>-</v>
      </c>
      <c r="M273" s="24" t="str">
        <f>IFERROR(IF(VLOOKUP(Tbl_Donnees[[#This Row],[Référence]]&amp;"",Tbl_Catalogue[],8,FALSE)=0,"-",VLOOKUP(Tbl_Donnees[[#This Row],[Référence]]&amp;"",Tbl_Catalogue[],8,FALSE)),"-")</f>
        <v>6SN1118-0NH01-0AA1</v>
      </c>
      <c r="N273" s="25" t="str">
        <f>IFERROR(IF(VLOOKUP(Tbl_Donnees[[#This Row],[Référence]]&amp;"",Tbl_Catalogue[],9,FALSE)=0,"-",VLOOKUP(Tbl_Donnees[[#This Row],[Référence]]&amp;"",Tbl_Catalogue[],9,FALSE)),"-")</f>
        <v>SIEMENS</v>
      </c>
      <c r="O273" s="5" t="str">
        <f>IFERROR(IF(VLOOKUP(Tbl_Donnees[[#This Row],[Référence]]&amp;"",Tbl_Catalogue[],11,FALSE)=0,"-",VLOOKUP(Tbl_Donnees[[#This Row],[Référence]]&amp;"",Tbl_Catalogue[],11,FALSE)),"-")</f>
        <v>PIÈCE DE RECHANGE (01/04/2015)</v>
      </c>
      <c r="P273" s="24" t="str">
        <f>IFERROR(IF(VLOOKUP(Tbl_Donnees[[#This Row],[Référence]]&amp;"",Tbl_Catalogue[],12,FALSE)=0,"-",VLOOKUP(Tbl_Donnees[[#This Row],[Référence]]&amp;"",Tbl_Catalogue[],12,FALSE)),"-")</f>
        <v>RECHANGE</v>
      </c>
      <c r="Q273" s="13" t="str">
        <f>IFERROR(IF(VLOOKUP(Tbl_Donnees[[#This Row],[Référence]]&amp;"",Tbl_Catalogue[],13,FALSE)=0,"-",VLOOKUP(Tbl_Donnees[[#This Row],[Référence]]&amp;"",Tbl_Catalogue[],13,FALSE)),"-")</f>
        <v>https://sieportal.siemens.com/fr-fr/products-services/detail/6SN1118-0NH01-0AA1?tree=CatalogTree</v>
      </c>
      <c r="R273" s="5"/>
    </row>
  </sheetData>
  <conditionalFormatting sqref="P1:P5 I1:I5 I16:I1048576 P16:P1048576">
    <cfRule type="containsText" dxfId="9" priority="21" operator="containsText" text="RECHANGE">
      <formula>NOT(ISERROR(SEARCH("RECHANGE",I1)))</formula>
    </cfRule>
    <cfRule type="containsText" dxfId="8" priority="22" operator="containsText" text="ACTIF">
      <formula>NOT(ISERROR(SEARCH("ACTIF",I1)))</formula>
    </cfRule>
    <cfRule type="containsText" dxfId="7" priority="23" operator="containsText" text="PHASE OUT">
      <formula>NOT(ISERROR(SEARCH("PHASE OUT",I1)))</formula>
    </cfRule>
    <cfRule type="containsText" dxfId="6" priority="24" operator="containsText" text="INCONNU">
      <formula>NOT(ISERROR(SEARCH("INCONNU",I1)))</formula>
    </cfRule>
    <cfRule type="containsText" dxfId="5" priority="25" operator="containsText" text="OBSOLETE">
      <formula>NOT(ISERROR(SEARCH("OBSOLETE",I1)))</formula>
    </cfRule>
  </conditionalFormatting>
  <conditionalFormatting sqref="I6:I15 P6:P15">
    <cfRule type="containsText" dxfId="4" priority="1" operator="containsText" text="RECHANGE">
      <formula>NOT(ISERROR(SEARCH("RECHANGE",I6)))</formula>
    </cfRule>
    <cfRule type="containsText" dxfId="3" priority="2" operator="containsText" text="ACTIF">
      <formula>NOT(ISERROR(SEARCH("ACTIF",I6)))</formula>
    </cfRule>
    <cfRule type="containsText" dxfId="2" priority="3" operator="containsText" text="PHASE OUT">
      <formula>NOT(ISERROR(SEARCH("PHASE OUT",I6)))</formula>
    </cfRule>
    <cfRule type="containsText" dxfId="1" priority="4" operator="containsText" text="INCONNU">
      <formula>NOT(ISERROR(SEARCH("INCONNU",I6)))</formula>
    </cfRule>
    <cfRule type="containsText" dxfId="0" priority="5" operator="containsText" text="OBSOLETE">
      <formula>NOT(ISERROR(SEARCH("OBSOLETE",I6)))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D935959-28F0-4414-8CDB-68D2CE6A4D0F}">
          <x14:formula1>
            <xm:f>Listes!$D$1:$D$4</xm:f>
          </x14:formula1>
          <xm:sqref>I274:I1048576</xm:sqref>
        </x14:dataValidation>
        <x14:dataValidation type="list" allowBlank="1" showInputMessage="1" showErrorMessage="1" xr:uid="{4A623C63-F7D9-4BA4-8B3C-704FD6181468}">
          <x14:formula1>
            <xm:f>Listes!$A$1:$A$64</xm:f>
          </x14:formula1>
          <xm:sqref>F1</xm:sqref>
        </x14:dataValidation>
        <x14:dataValidation type="list" allowBlank="1" showInputMessage="1" showErrorMessage="1" xr:uid="{13E4E45A-DF0F-4039-981B-D12C2AC772C7}">
          <x14:formula1>
            <xm:f>Listes!$D$1:$D$5</xm:f>
          </x14:formula1>
          <xm:sqref>I2:I273 P2:P1048576</xm:sqref>
        </x14:dataValidation>
        <x14:dataValidation type="list" allowBlank="1" showInputMessage="1" showErrorMessage="1" xr:uid="{82F6F6F5-D6B6-4A6B-9E21-149E82FB4400}">
          <x14:formula1>
            <xm:f>Listes!$E$1:$E$4</xm:f>
          </x14:formula1>
          <xm:sqref>K2:K1048576</xm:sqref>
        </x14:dataValidation>
        <x14:dataValidation type="list" allowBlank="1" showInputMessage="1" showErrorMessage="1" xr:uid="{36AF7F51-90FE-42EF-9C2D-EA860F376447}">
          <x14:formula1>
            <xm:f>Listes!$A:$A</xm:f>
          </x14:formula1>
          <xm:sqref>N2:N1048576 F2:F1048576</xm:sqref>
        </x14:dataValidation>
        <x14:dataValidation type="list" allowBlank="1" showInputMessage="1" showErrorMessage="1" xr:uid="{60928667-1F2D-41E8-AAE7-D9F572B89B86}">
          <x14:formula1>
            <xm:f>Listes!$B:$B</xm:f>
          </x14:formula1>
          <xm:sqref>A2:A1048576</xm:sqref>
        </x14:dataValidation>
        <x14:dataValidation type="list" allowBlank="1" showInputMessage="1" showErrorMessage="1" xr:uid="{FDB4848A-AD43-4E1B-9FCD-6A0009BC577B}">
          <x14:formula1>
            <xm:f>Listes!$C:$C</xm:f>
          </x14:formula1>
          <xm:sqref>C2:C1048576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83F4-DC3B-45F8-A4CC-ED81DFCAA41A}">
  <sheetPr codeName="Feuil6"/>
  <dimension ref="A1:D14"/>
  <sheetViews>
    <sheetView workbookViewId="0">
      <selection activeCell="F15" sqref="F15"/>
    </sheetView>
  </sheetViews>
  <sheetFormatPr baseColWidth="10" defaultRowHeight="14.4" x14ac:dyDescent="0.3"/>
  <cols>
    <col min="1" max="1" width="13.88671875" bestFit="1" customWidth="1"/>
    <col min="2" max="2" width="14.6640625" bestFit="1" customWidth="1"/>
    <col min="3" max="3" width="7.109375" bestFit="1" customWidth="1"/>
    <col min="4" max="4" width="17.33203125" bestFit="1" customWidth="1"/>
  </cols>
  <sheetData>
    <row r="1" spans="1:4" x14ac:dyDescent="0.3">
      <c r="A1" t="s">
        <v>735</v>
      </c>
      <c r="B1" t="s">
        <v>736</v>
      </c>
      <c r="C1" t="s">
        <v>737</v>
      </c>
      <c r="D1" t="s">
        <v>734</v>
      </c>
    </row>
    <row r="2" spans="1:4" x14ac:dyDescent="0.3">
      <c r="A2" t="s">
        <v>739</v>
      </c>
      <c r="B2">
        <v>2003</v>
      </c>
      <c r="C2" t="s">
        <v>738</v>
      </c>
      <c r="D2" t="s">
        <v>320</v>
      </c>
    </row>
    <row r="3" spans="1:4" x14ac:dyDescent="0.3">
      <c r="A3" t="s">
        <v>740</v>
      </c>
      <c r="B3">
        <v>2026</v>
      </c>
      <c r="C3" t="s">
        <v>738</v>
      </c>
      <c r="D3" t="s">
        <v>320</v>
      </c>
    </row>
    <row r="4" spans="1:4" x14ac:dyDescent="0.3">
      <c r="A4" t="s">
        <v>741</v>
      </c>
      <c r="B4">
        <v>1234</v>
      </c>
      <c r="C4" t="s">
        <v>738</v>
      </c>
      <c r="D4" t="s">
        <v>320</v>
      </c>
    </row>
    <row r="5" spans="1:4" x14ac:dyDescent="0.3">
      <c r="A5" t="s">
        <v>770</v>
      </c>
      <c r="B5">
        <v>1234</v>
      </c>
      <c r="C5" t="s">
        <v>792</v>
      </c>
      <c r="D5" t="s">
        <v>319</v>
      </c>
    </row>
    <row r="6" spans="1:4" x14ac:dyDescent="0.3">
      <c r="A6" t="s">
        <v>748</v>
      </c>
      <c r="B6">
        <v>1234</v>
      </c>
      <c r="C6" t="s">
        <v>792</v>
      </c>
      <c r="D6" t="s">
        <v>319</v>
      </c>
    </row>
    <row r="7" spans="1:4" x14ac:dyDescent="0.3">
      <c r="A7" t="s">
        <v>771</v>
      </c>
      <c r="B7">
        <v>1234</v>
      </c>
      <c r="C7" t="s">
        <v>792</v>
      </c>
      <c r="D7" t="s">
        <v>319</v>
      </c>
    </row>
    <row r="8" spans="1:4" x14ac:dyDescent="0.3">
      <c r="A8" t="s">
        <v>772</v>
      </c>
      <c r="B8">
        <v>1234</v>
      </c>
      <c r="C8" t="s">
        <v>792</v>
      </c>
      <c r="D8" t="s">
        <v>319</v>
      </c>
    </row>
    <row r="9" spans="1:4" x14ac:dyDescent="0.3">
      <c r="A9" t="s">
        <v>773</v>
      </c>
      <c r="B9">
        <v>1234</v>
      </c>
      <c r="C9" t="s">
        <v>792</v>
      </c>
      <c r="D9" t="s">
        <v>319</v>
      </c>
    </row>
    <row r="10" spans="1:4" x14ac:dyDescent="0.3">
      <c r="A10" t="s">
        <v>774</v>
      </c>
      <c r="B10">
        <v>1234</v>
      </c>
      <c r="C10" t="s">
        <v>792</v>
      </c>
      <c r="D10" t="s">
        <v>319</v>
      </c>
    </row>
    <row r="11" spans="1:4" x14ac:dyDescent="0.3">
      <c r="A11" t="s">
        <v>775</v>
      </c>
      <c r="B11">
        <v>1234</v>
      </c>
      <c r="C11" t="s">
        <v>792</v>
      </c>
      <c r="D11" t="s">
        <v>319</v>
      </c>
    </row>
    <row r="12" spans="1:4" x14ac:dyDescent="0.3">
      <c r="A12" t="s">
        <v>776</v>
      </c>
      <c r="B12">
        <v>1234</v>
      </c>
      <c r="C12" t="s">
        <v>792</v>
      </c>
      <c r="D12" t="s">
        <v>319</v>
      </c>
    </row>
    <row r="13" spans="1:4" x14ac:dyDescent="0.3">
      <c r="A13" t="s">
        <v>777</v>
      </c>
      <c r="B13">
        <v>1234</v>
      </c>
      <c r="C13" t="s">
        <v>792</v>
      </c>
      <c r="D13" t="s">
        <v>319</v>
      </c>
    </row>
    <row r="14" spans="1:4" x14ac:dyDescent="0.3">
      <c r="A14" t="s">
        <v>778</v>
      </c>
      <c r="B14">
        <v>1234</v>
      </c>
      <c r="C14" t="s">
        <v>792</v>
      </c>
      <c r="D14" t="s">
        <v>319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053B-E058-4B26-A685-5A4977259346}">
  <sheetPr codeName="Feuil7"/>
  <dimension ref="A1:D190"/>
  <sheetViews>
    <sheetView topLeftCell="A94" workbookViewId="0">
      <selection activeCell="L94" sqref="L94"/>
    </sheetView>
  </sheetViews>
  <sheetFormatPr baseColWidth="10" defaultRowHeight="14.4" x14ac:dyDescent="0.3"/>
  <cols>
    <col min="1" max="1" width="15.5546875" bestFit="1" customWidth="1"/>
    <col min="2" max="2" width="14.33203125" bestFit="1" customWidth="1"/>
    <col min="3" max="3" width="20.44140625" bestFit="1" customWidth="1"/>
    <col min="4" max="4" width="44" bestFit="1" customWidth="1"/>
  </cols>
  <sheetData>
    <row r="1" spans="1:4" x14ac:dyDescent="0.3">
      <c r="A1" t="s">
        <v>742</v>
      </c>
      <c r="B1" t="s">
        <v>743</v>
      </c>
      <c r="C1" t="s">
        <v>744</v>
      </c>
      <c r="D1" t="s">
        <v>745</v>
      </c>
    </row>
    <row r="2" spans="1:4" x14ac:dyDescent="0.3">
      <c r="A2" s="26">
        <v>46100.555821759262</v>
      </c>
      <c r="B2" t="s">
        <v>739</v>
      </c>
      <c r="C2" t="s">
        <v>746</v>
      </c>
      <c r="D2" t="s">
        <v>747</v>
      </c>
    </row>
    <row r="3" spans="1:4" x14ac:dyDescent="0.3">
      <c r="A3" s="26">
        <v>46100.558032407411</v>
      </c>
      <c r="B3" t="s">
        <v>739</v>
      </c>
      <c r="C3" t="s">
        <v>746</v>
      </c>
      <c r="D3" t="s">
        <v>747</v>
      </c>
    </row>
    <row r="4" spans="1:4" x14ac:dyDescent="0.3">
      <c r="A4" s="26">
        <v>46100.566678240742</v>
      </c>
      <c r="B4" t="s">
        <v>739</v>
      </c>
      <c r="C4" t="s">
        <v>746</v>
      </c>
      <c r="D4" t="s">
        <v>747</v>
      </c>
    </row>
    <row r="5" spans="1:4" x14ac:dyDescent="0.3">
      <c r="A5" s="26">
        <v>46100.566863425927</v>
      </c>
      <c r="B5" t="s">
        <v>739</v>
      </c>
      <c r="C5" t="s">
        <v>746</v>
      </c>
      <c r="D5" t="s">
        <v>747</v>
      </c>
    </row>
    <row r="6" spans="1:4" x14ac:dyDescent="0.3">
      <c r="A6" s="26">
        <v>46100.572060185186</v>
      </c>
      <c r="B6" t="s">
        <v>739</v>
      </c>
      <c r="C6" t="s">
        <v>746</v>
      </c>
      <c r="D6" t="s">
        <v>747</v>
      </c>
    </row>
    <row r="7" spans="1:4" x14ac:dyDescent="0.3">
      <c r="A7" s="26">
        <v>46100.575937499998</v>
      </c>
      <c r="B7" t="s">
        <v>739</v>
      </c>
      <c r="C7" t="s">
        <v>746</v>
      </c>
      <c r="D7" t="s">
        <v>747</v>
      </c>
    </row>
    <row r="8" spans="1:4" x14ac:dyDescent="0.3">
      <c r="A8" s="26">
        <v>46100.576840277776</v>
      </c>
      <c r="B8" t="s">
        <v>739</v>
      </c>
      <c r="C8" t="s">
        <v>746</v>
      </c>
      <c r="D8" t="s">
        <v>747</v>
      </c>
    </row>
    <row r="9" spans="1:4" x14ac:dyDescent="0.3">
      <c r="A9" s="26">
        <v>46100.587430555555</v>
      </c>
      <c r="B9" t="s">
        <v>739</v>
      </c>
      <c r="C9" t="s">
        <v>746</v>
      </c>
      <c r="D9" t="s">
        <v>747</v>
      </c>
    </row>
    <row r="10" spans="1:4" x14ac:dyDescent="0.3">
      <c r="A10" s="26">
        <v>46100.587743055556</v>
      </c>
      <c r="B10" t="s">
        <v>739</v>
      </c>
      <c r="C10" t="s">
        <v>749</v>
      </c>
      <c r="D10" t="s">
        <v>750</v>
      </c>
    </row>
    <row r="11" spans="1:4" x14ac:dyDescent="0.3">
      <c r="A11" s="26">
        <v>46100.58834490741</v>
      </c>
      <c r="B11" t="s">
        <v>739</v>
      </c>
      <c r="C11" t="s">
        <v>751</v>
      </c>
      <c r="D11" t="s">
        <v>752</v>
      </c>
    </row>
    <row r="12" spans="1:4" x14ac:dyDescent="0.3">
      <c r="A12" s="26">
        <v>46100.591932870368</v>
      </c>
      <c r="B12" t="s">
        <v>739</v>
      </c>
      <c r="C12" t="s">
        <v>749</v>
      </c>
      <c r="D12" t="s">
        <v>753</v>
      </c>
    </row>
    <row r="13" spans="1:4" x14ac:dyDescent="0.3">
      <c r="A13" s="26">
        <v>46100.612337962964</v>
      </c>
      <c r="B13" t="s">
        <v>739</v>
      </c>
      <c r="C13" t="s">
        <v>751</v>
      </c>
      <c r="D13" t="s">
        <v>754</v>
      </c>
    </row>
    <row r="14" spans="1:4" x14ac:dyDescent="0.3">
      <c r="A14" s="26">
        <v>46100.622372685182</v>
      </c>
      <c r="B14" t="s">
        <v>739</v>
      </c>
      <c r="C14" t="s">
        <v>746</v>
      </c>
      <c r="D14" t="s">
        <v>747</v>
      </c>
    </row>
    <row r="15" spans="1:4" x14ac:dyDescent="0.3">
      <c r="A15" s="26">
        <v>46100.632245370369</v>
      </c>
      <c r="B15" t="s">
        <v>739</v>
      </c>
      <c r="C15" t="s">
        <v>746</v>
      </c>
      <c r="D15" t="s">
        <v>747</v>
      </c>
    </row>
    <row r="16" spans="1:4" x14ac:dyDescent="0.3">
      <c r="A16" s="26">
        <v>46100.648287037038</v>
      </c>
      <c r="B16" t="s">
        <v>739</v>
      </c>
      <c r="C16" t="s">
        <v>746</v>
      </c>
      <c r="D16" t="s">
        <v>747</v>
      </c>
    </row>
    <row r="17" spans="1:4" x14ac:dyDescent="0.3">
      <c r="A17" s="26">
        <v>46100.654085648152</v>
      </c>
      <c r="B17" t="s">
        <v>739</v>
      </c>
      <c r="C17" t="s">
        <v>746</v>
      </c>
      <c r="D17" t="s">
        <v>747</v>
      </c>
    </row>
    <row r="18" spans="1:4" x14ac:dyDescent="0.3">
      <c r="A18" s="26">
        <v>46101.332291666666</v>
      </c>
      <c r="B18" t="s">
        <v>739</v>
      </c>
      <c r="C18" t="s">
        <v>746</v>
      </c>
      <c r="D18" t="s">
        <v>747</v>
      </c>
    </row>
    <row r="19" spans="1:4" x14ac:dyDescent="0.3">
      <c r="A19" s="26">
        <v>46101.334594907406</v>
      </c>
      <c r="B19" t="s">
        <v>739</v>
      </c>
      <c r="C19" t="s">
        <v>746</v>
      </c>
      <c r="D19" t="s">
        <v>747</v>
      </c>
    </row>
    <row r="20" spans="1:4" x14ac:dyDescent="0.3">
      <c r="A20" s="26">
        <v>46101.402928240743</v>
      </c>
      <c r="C20" t="s">
        <v>757</v>
      </c>
      <c r="D20" t="s">
        <v>758</v>
      </c>
    </row>
    <row r="21" spans="1:4" x14ac:dyDescent="0.3">
      <c r="A21" s="26">
        <v>46101.429884259262</v>
      </c>
      <c r="B21" t="s">
        <v>739</v>
      </c>
      <c r="C21" t="s">
        <v>746</v>
      </c>
      <c r="D21" t="s">
        <v>747</v>
      </c>
    </row>
    <row r="22" spans="1:4" x14ac:dyDescent="0.3">
      <c r="A22" s="26">
        <v>46101.430335648147</v>
      </c>
      <c r="B22" t="s">
        <v>739</v>
      </c>
      <c r="C22" t="s">
        <v>746</v>
      </c>
      <c r="D22" t="s">
        <v>747</v>
      </c>
    </row>
    <row r="23" spans="1:4" x14ac:dyDescent="0.3">
      <c r="A23" s="26">
        <v>46101.475543981483</v>
      </c>
      <c r="B23" t="s">
        <v>739</v>
      </c>
      <c r="C23" t="s">
        <v>746</v>
      </c>
      <c r="D23" t="s">
        <v>759</v>
      </c>
    </row>
    <row r="24" spans="1:4" x14ac:dyDescent="0.3">
      <c r="A24" s="26">
        <v>46101.475648148145</v>
      </c>
      <c r="B24" t="s">
        <v>739</v>
      </c>
      <c r="C24" t="s">
        <v>749</v>
      </c>
      <c r="D24" t="s">
        <v>760</v>
      </c>
    </row>
    <row r="25" spans="1:4" x14ac:dyDescent="0.3">
      <c r="A25" s="26">
        <v>46101.476157407407</v>
      </c>
      <c r="B25" t="s">
        <v>739</v>
      </c>
      <c r="C25" t="s">
        <v>746</v>
      </c>
      <c r="D25" t="s">
        <v>759</v>
      </c>
    </row>
    <row r="26" spans="1:4" x14ac:dyDescent="0.3">
      <c r="A26" s="26">
        <v>46101.476388888892</v>
      </c>
      <c r="B26" t="s">
        <v>739</v>
      </c>
      <c r="C26" t="s">
        <v>746</v>
      </c>
      <c r="D26" t="s">
        <v>759</v>
      </c>
    </row>
    <row r="27" spans="1:4" x14ac:dyDescent="0.3">
      <c r="A27" s="26">
        <v>46101.476747685185</v>
      </c>
      <c r="B27" t="s">
        <v>739</v>
      </c>
      <c r="C27" t="s">
        <v>761</v>
      </c>
      <c r="D27" t="s">
        <v>762</v>
      </c>
    </row>
    <row r="28" spans="1:4" x14ac:dyDescent="0.3">
      <c r="A28" s="26">
        <v>46101.477546296293</v>
      </c>
      <c r="B28" t="s">
        <v>740</v>
      </c>
      <c r="C28" t="s">
        <v>746</v>
      </c>
      <c r="D28" t="s">
        <v>759</v>
      </c>
    </row>
    <row r="29" spans="1:4" x14ac:dyDescent="0.3">
      <c r="A29" s="26">
        <v>46101.477662037039</v>
      </c>
      <c r="B29" t="s">
        <v>740</v>
      </c>
      <c r="C29" t="s">
        <v>763</v>
      </c>
      <c r="D29" t="s">
        <v>764</v>
      </c>
    </row>
    <row r="30" spans="1:4" x14ac:dyDescent="0.3">
      <c r="A30" s="26">
        <v>46101.481365740743</v>
      </c>
      <c r="B30" t="s">
        <v>739</v>
      </c>
      <c r="C30" t="s">
        <v>746</v>
      </c>
      <c r="D30" t="s">
        <v>759</v>
      </c>
    </row>
    <row r="31" spans="1:4" x14ac:dyDescent="0.3">
      <c r="A31" s="26">
        <v>46101.488935185182</v>
      </c>
      <c r="B31" t="s">
        <v>739</v>
      </c>
      <c r="C31" t="s">
        <v>746</v>
      </c>
      <c r="D31" t="s">
        <v>759</v>
      </c>
    </row>
    <row r="32" spans="1:4" x14ac:dyDescent="0.3">
      <c r="A32" s="26">
        <v>46101.489918981482</v>
      </c>
      <c r="B32" t="s">
        <v>739</v>
      </c>
      <c r="C32" t="s">
        <v>749</v>
      </c>
      <c r="D32" t="s">
        <v>760</v>
      </c>
    </row>
    <row r="33" spans="1:4" x14ac:dyDescent="0.3">
      <c r="A33" s="26">
        <v>46101.490474537037</v>
      </c>
      <c r="B33" t="s">
        <v>739</v>
      </c>
      <c r="C33" t="s">
        <v>765</v>
      </c>
      <c r="D33" t="s">
        <v>766</v>
      </c>
    </row>
    <row r="34" spans="1:4" x14ac:dyDescent="0.3">
      <c r="A34" s="26">
        <v>46101.491307870368</v>
      </c>
      <c r="B34" t="s">
        <v>739</v>
      </c>
      <c r="C34" t="s">
        <v>767</v>
      </c>
      <c r="D34" t="s">
        <v>768</v>
      </c>
    </row>
    <row r="35" spans="1:4" x14ac:dyDescent="0.3">
      <c r="A35" s="26">
        <v>46101.491539351853</v>
      </c>
      <c r="B35" t="s">
        <v>739</v>
      </c>
      <c r="C35" t="s">
        <v>761</v>
      </c>
      <c r="D35" t="s">
        <v>769</v>
      </c>
    </row>
    <row r="36" spans="1:4" x14ac:dyDescent="0.3">
      <c r="A36" s="26">
        <v>46101.492199074077</v>
      </c>
      <c r="B36" t="s">
        <v>739</v>
      </c>
      <c r="C36" t="s">
        <v>746</v>
      </c>
      <c r="D36" t="s">
        <v>759</v>
      </c>
    </row>
    <row r="37" spans="1:4" x14ac:dyDescent="0.3">
      <c r="A37" s="26">
        <v>46101.495532407411</v>
      </c>
      <c r="B37" t="s">
        <v>739</v>
      </c>
      <c r="C37" t="s">
        <v>746</v>
      </c>
      <c r="D37" t="s">
        <v>759</v>
      </c>
    </row>
    <row r="38" spans="1:4" x14ac:dyDescent="0.3">
      <c r="A38" s="26">
        <v>46101.496655092589</v>
      </c>
      <c r="B38" t="s">
        <v>739</v>
      </c>
      <c r="C38" t="s">
        <v>746</v>
      </c>
      <c r="D38" t="s">
        <v>759</v>
      </c>
    </row>
    <row r="39" spans="1:4" x14ac:dyDescent="0.3">
      <c r="A39" s="26">
        <v>46101.658368055556</v>
      </c>
      <c r="B39" t="s">
        <v>739</v>
      </c>
      <c r="C39" t="s">
        <v>746</v>
      </c>
      <c r="D39" t="s">
        <v>759</v>
      </c>
    </row>
    <row r="40" spans="1:4" x14ac:dyDescent="0.3">
      <c r="A40" s="26">
        <v>46101.658645833333</v>
      </c>
      <c r="B40" t="s">
        <v>739</v>
      </c>
      <c r="C40" t="s">
        <v>746</v>
      </c>
      <c r="D40" t="s">
        <v>759</v>
      </c>
    </row>
    <row r="41" spans="1:4" x14ac:dyDescent="0.3">
      <c r="A41" s="26">
        <v>46101.671712962961</v>
      </c>
      <c r="B41" t="s">
        <v>739</v>
      </c>
      <c r="C41" t="s">
        <v>746</v>
      </c>
      <c r="D41" t="s">
        <v>759</v>
      </c>
    </row>
    <row r="42" spans="1:4" x14ac:dyDescent="0.3">
      <c r="A42" s="26">
        <v>46104.323842592596</v>
      </c>
      <c r="B42" t="s">
        <v>739</v>
      </c>
      <c r="C42" t="s">
        <v>746</v>
      </c>
      <c r="D42" t="s">
        <v>759</v>
      </c>
    </row>
    <row r="43" spans="1:4" x14ac:dyDescent="0.3">
      <c r="A43" s="26">
        <v>46104.476840277777</v>
      </c>
      <c r="B43" t="s">
        <v>739</v>
      </c>
      <c r="C43" t="s">
        <v>746</v>
      </c>
      <c r="D43" t="s">
        <v>759</v>
      </c>
    </row>
    <row r="44" spans="1:4" x14ac:dyDescent="0.3">
      <c r="A44" s="26">
        <v>46104.594641203701</v>
      </c>
      <c r="B44" t="s">
        <v>739</v>
      </c>
      <c r="C44" t="s">
        <v>746</v>
      </c>
      <c r="D44" t="s">
        <v>759</v>
      </c>
    </row>
    <row r="45" spans="1:4" x14ac:dyDescent="0.3">
      <c r="A45" s="26">
        <v>46104.608854166669</v>
      </c>
      <c r="B45" t="s">
        <v>739</v>
      </c>
      <c r="C45" t="s">
        <v>746</v>
      </c>
      <c r="D45" t="s">
        <v>759</v>
      </c>
    </row>
    <row r="46" spans="1:4" x14ac:dyDescent="0.3">
      <c r="A46" s="26">
        <v>46104.631527777776</v>
      </c>
      <c r="B46" t="s">
        <v>740</v>
      </c>
      <c r="C46" t="s">
        <v>746</v>
      </c>
      <c r="D46" t="s">
        <v>759</v>
      </c>
    </row>
    <row r="47" spans="1:4" x14ac:dyDescent="0.3">
      <c r="A47" s="26">
        <v>46104.631793981483</v>
      </c>
      <c r="B47" t="s">
        <v>740</v>
      </c>
      <c r="C47" t="s">
        <v>763</v>
      </c>
      <c r="D47" t="s">
        <v>764</v>
      </c>
    </row>
    <row r="48" spans="1:4" x14ac:dyDescent="0.3">
      <c r="A48" s="26">
        <v>46105.336724537039</v>
      </c>
      <c r="B48" t="s">
        <v>739</v>
      </c>
      <c r="C48" t="s">
        <v>746</v>
      </c>
      <c r="D48" t="s">
        <v>759</v>
      </c>
    </row>
    <row r="49" spans="1:4" x14ac:dyDescent="0.3">
      <c r="A49" s="26">
        <v>46105.367662037039</v>
      </c>
      <c r="B49" t="s">
        <v>739</v>
      </c>
      <c r="C49" t="s">
        <v>746</v>
      </c>
      <c r="D49" t="s">
        <v>759</v>
      </c>
    </row>
    <row r="50" spans="1:4" x14ac:dyDescent="0.3">
      <c r="A50" s="26">
        <v>46105.413969907408</v>
      </c>
      <c r="B50" t="s">
        <v>739</v>
      </c>
      <c r="C50" t="s">
        <v>746</v>
      </c>
      <c r="D50" t="s">
        <v>759</v>
      </c>
    </row>
    <row r="51" spans="1:4" x14ac:dyDescent="0.3">
      <c r="A51" s="26">
        <v>46105.414513888885</v>
      </c>
      <c r="B51" t="s">
        <v>739</v>
      </c>
      <c r="C51" t="s">
        <v>749</v>
      </c>
      <c r="D51" t="s">
        <v>784</v>
      </c>
    </row>
    <row r="52" spans="1:4" x14ac:dyDescent="0.3">
      <c r="A52" s="26">
        <v>46105.415300925924</v>
      </c>
      <c r="B52" t="s">
        <v>739</v>
      </c>
      <c r="C52" t="s">
        <v>746</v>
      </c>
      <c r="D52" t="s">
        <v>759</v>
      </c>
    </row>
    <row r="53" spans="1:4" x14ac:dyDescent="0.3">
      <c r="A53" s="26">
        <v>46105.417974537035</v>
      </c>
      <c r="B53" t="s">
        <v>739</v>
      </c>
      <c r="C53" t="s">
        <v>746</v>
      </c>
      <c r="D53" t="s">
        <v>759</v>
      </c>
    </row>
    <row r="54" spans="1:4" x14ac:dyDescent="0.3">
      <c r="A54" s="26">
        <v>46105.419120370374</v>
      </c>
      <c r="B54" t="s">
        <v>739</v>
      </c>
      <c r="C54" t="s">
        <v>746</v>
      </c>
      <c r="D54" t="s">
        <v>759</v>
      </c>
    </row>
    <row r="55" spans="1:4" x14ac:dyDescent="0.3">
      <c r="A55" s="26">
        <v>46105.420358796298</v>
      </c>
      <c r="B55" t="s">
        <v>739</v>
      </c>
      <c r="C55" t="s">
        <v>746</v>
      </c>
      <c r="D55" t="s">
        <v>759</v>
      </c>
    </row>
    <row r="56" spans="1:4" x14ac:dyDescent="0.3">
      <c r="A56" s="26">
        <v>46105.425324074073</v>
      </c>
      <c r="B56" t="s">
        <v>739</v>
      </c>
      <c r="C56" t="s">
        <v>746</v>
      </c>
      <c r="D56" t="s">
        <v>759</v>
      </c>
    </row>
    <row r="57" spans="1:4" x14ac:dyDescent="0.3">
      <c r="A57" s="26">
        <v>46105.425833333335</v>
      </c>
      <c r="B57" t="s">
        <v>739</v>
      </c>
      <c r="C57" t="s">
        <v>749</v>
      </c>
      <c r="D57" t="s">
        <v>785</v>
      </c>
    </row>
    <row r="58" spans="1:4" x14ac:dyDescent="0.3">
      <c r="A58" s="26">
        <v>46105.42659722222</v>
      </c>
      <c r="B58" t="s">
        <v>739</v>
      </c>
      <c r="C58" t="s">
        <v>765</v>
      </c>
      <c r="D58" t="s">
        <v>786</v>
      </c>
    </row>
    <row r="59" spans="1:4" x14ac:dyDescent="0.3">
      <c r="A59" s="26">
        <v>46105.427083333336</v>
      </c>
      <c r="B59" t="s">
        <v>739</v>
      </c>
      <c r="C59" t="s">
        <v>765</v>
      </c>
      <c r="D59" t="s">
        <v>786</v>
      </c>
    </row>
    <row r="60" spans="1:4" x14ac:dyDescent="0.3">
      <c r="A60" s="26">
        <v>46105.428206018521</v>
      </c>
      <c r="B60" t="s">
        <v>739</v>
      </c>
      <c r="C60" t="s">
        <v>746</v>
      </c>
      <c r="D60" t="s">
        <v>759</v>
      </c>
    </row>
    <row r="61" spans="1:4" x14ac:dyDescent="0.3">
      <c r="A61" s="26">
        <v>46105.429456018515</v>
      </c>
      <c r="B61" t="s">
        <v>739</v>
      </c>
      <c r="C61" t="s">
        <v>765</v>
      </c>
      <c r="D61" t="s">
        <v>786</v>
      </c>
    </row>
    <row r="62" spans="1:4" x14ac:dyDescent="0.3">
      <c r="A62" s="26">
        <v>46105.4299537037</v>
      </c>
      <c r="B62" t="s">
        <v>739</v>
      </c>
      <c r="C62" t="s">
        <v>765</v>
      </c>
      <c r="D62" t="s">
        <v>786</v>
      </c>
    </row>
    <row r="63" spans="1:4" x14ac:dyDescent="0.3">
      <c r="A63" s="26">
        <v>46105.430081018516</v>
      </c>
      <c r="B63" t="s">
        <v>739</v>
      </c>
      <c r="C63" t="s">
        <v>765</v>
      </c>
      <c r="D63" t="s">
        <v>786</v>
      </c>
    </row>
    <row r="64" spans="1:4" x14ac:dyDescent="0.3">
      <c r="A64" s="26">
        <v>46105.430474537039</v>
      </c>
      <c r="B64" t="s">
        <v>739</v>
      </c>
      <c r="C64" t="s">
        <v>765</v>
      </c>
      <c r="D64" t="s">
        <v>786</v>
      </c>
    </row>
    <row r="65" spans="1:4" x14ac:dyDescent="0.3">
      <c r="A65" s="26">
        <v>46105.430671296293</v>
      </c>
      <c r="B65" t="s">
        <v>739</v>
      </c>
      <c r="C65" t="s">
        <v>765</v>
      </c>
      <c r="D65" t="s">
        <v>786</v>
      </c>
    </row>
    <row r="66" spans="1:4" x14ac:dyDescent="0.3">
      <c r="A66" s="26">
        <v>46105.430925925924</v>
      </c>
      <c r="B66" t="s">
        <v>739</v>
      </c>
      <c r="C66" t="s">
        <v>746</v>
      </c>
      <c r="D66" t="s">
        <v>759</v>
      </c>
    </row>
    <row r="67" spans="1:4" x14ac:dyDescent="0.3">
      <c r="A67" s="26">
        <v>46105.431041666663</v>
      </c>
      <c r="B67" t="s">
        <v>739</v>
      </c>
      <c r="C67" t="s">
        <v>761</v>
      </c>
      <c r="D67" t="s">
        <v>787</v>
      </c>
    </row>
    <row r="68" spans="1:4" x14ac:dyDescent="0.3">
      <c r="A68" s="26">
        <v>46105.431493055556</v>
      </c>
      <c r="B68" t="s">
        <v>739</v>
      </c>
      <c r="C68" t="s">
        <v>749</v>
      </c>
      <c r="D68" t="s">
        <v>788</v>
      </c>
    </row>
    <row r="69" spans="1:4" x14ac:dyDescent="0.3">
      <c r="A69" s="26">
        <v>46105.432037037041</v>
      </c>
      <c r="B69" t="s">
        <v>739</v>
      </c>
      <c r="C69" t="s">
        <v>761</v>
      </c>
      <c r="D69" t="s">
        <v>789</v>
      </c>
    </row>
    <row r="70" spans="1:4" x14ac:dyDescent="0.3">
      <c r="A70" s="26">
        <v>46105.437511574077</v>
      </c>
      <c r="B70" t="s">
        <v>739</v>
      </c>
      <c r="C70" t="s">
        <v>746</v>
      </c>
      <c r="D70" t="s">
        <v>759</v>
      </c>
    </row>
    <row r="71" spans="1:4" x14ac:dyDescent="0.3">
      <c r="A71" s="26">
        <v>46105.438946759263</v>
      </c>
      <c r="B71" t="s">
        <v>739</v>
      </c>
      <c r="C71" t="s">
        <v>746</v>
      </c>
      <c r="D71" t="s">
        <v>759</v>
      </c>
    </row>
    <row r="72" spans="1:4" x14ac:dyDescent="0.3">
      <c r="A72" s="26">
        <v>46105.444155092591</v>
      </c>
      <c r="B72" t="s">
        <v>739</v>
      </c>
      <c r="C72" t="s">
        <v>746</v>
      </c>
      <c r="D72" t="s">
        <v>759</v>
      </c>
    </row>
    <row r="73" spans="1:4" x14ac:dyDescent="0.3">
      <c r="A73" s="26">
        <v>46105.445104166669</v>
      </c>
      <c r="B73" t="s">
        <v>739</v>
      </c>
      <c r="C73" t="s">
        <v>749</v>
      </c>
      <c r="D73" t="s">
        <v>784</v>
      </c>
    </row>
    <row r="74" spans="1:4" x14ac:dyDescent="0.3">
      <c r="A74" s="26">
        <v>46105.446111111109</v>
      </c>
      <c r="B74" t="s">
        <v>739</v>
      </c>
      <c r="C74" t="s">
        <v>746</v>
      </c>
      <c r="D74" t="s">
        <v>759</v>
      </c>
    </row>
    <row r="75" spans="1:4" x14ac:dyDescent="0.3">
      <c r="A75" s="26">
        <v>46105.44871527778</v>
      </c>
      <c r="B75" t="s">
        <v>739</v>
      </c>
      <c r="C75" t="s">
        <v>746</v>
      </c>
      <c r="D75" t="s">
        <v>759</v>
      </c>
    </row>
    <row r="76" spans="1:4" x14ac:dyDescent="0.3">
      <c r="A76" s="26">
        <v>46105.449594907404</v>
      </c>
      <c r="B76" t="s">
        <v>739</v>
      </c>
      <c r="C76" t="s">
        <v>746</v>
      </c>
      <c r="D76" t="s">
        <v>759</v>
      </c>
    </row>
    <row r="77" spans="1:4" x14ac:dyDescent="0.3">
      <c r="A77" s="26">
        <v>46105.452986111108</v>
      </c>
      <c r="B77" t="s">
        <v>739</v>
      </c>
      <c r="C77" t="s">
        <v>746</v>
      </c>
      <c r="D77" t="s">
        <v>759</v>
      </c>
    </row>
    <row r="78" spans="1:4" x14ac:dyDescent="0.3">
      <c r="A78" s="26">
        <v>46105.453275462962</v>
      </c>
      <c r="B78" t="s">
        <v>739</v>
      </c>
      <c r="C78" t="s">
        <v>767</v>
      </c>
      <c r="D78" t="s">
        <v>790</v>
      </c>
    </row>
    <row r="79" spans="1:4" x14ac:dyDescent="0.3">
      <c r="A79" s="26">
        <v>46105.453831018516</v>
      </c>
      <c r="B79" t="s">
        <v>739</v>
      </c>
      <c r="C79" t="s">
        <v>767</v>
      </c>
      <c r="D79" t="s">
        <v>791</v>
      </c>
    </row>
    <row r="80" spans="1:4" x14ac:dyDescent="0.3">
      <c r="A80" s="26">
        <v>46105.64571759259</v>
      </c>
      <c r="B80" t="s">
        <v>739</v>
      </c>
      <c r="C80" t="s">
        <v>746</v>
      </c>
      <c r="D80" t="s">
        <v>759</v>
      </c>
    </row>
    <row r="81" spans="1:4" x14ac:dyDescent="0.3">
      <c r="A81" s="26">
        <v>46105.646493055552</v>
      </c>
      <c r="B81" t="s">
        <v>739</v>
      </c>
      <c r="C81" t="s">
        <v>746</v>
      </c>
      <c r="D81" t="s">
        <v>759</v>
      </c>
    </row>
    <row r="82" spans="1:4" x14ac:dyDescent="0.3">
      <c r="A82" s="26">
        <v>46105.653587962966</v>
      </c>
      <c r="B82" t="s">
        <v>748</v>
      </c>
      <c r="C82" t="s">
        <v>746</v>
      </c>
      <c r="D82" t="s">
        <v>759</v>
      </c>
    </row>
    <row r="83" spans="1:4" x14ac:dyDescent="0.3">
      <c r="A83" s="26">
        <v>46105.653703703705</v>
      </c>
      <c r="B83" t="s">
        <v>748</v>
      </c>
      <c r="C83" t="s">
        <v>763</v>
      </c>
      <c r="D83" t="s">
        <v>764</v>
      </c>
    </row>
    <row r="84" spans="1:4" x14ac:dyDescent="0.3">
      <c r="A84" s="26">
        <v>46105.654178240744</v>
      </c>
      <c r="B84" t="s">
        <v>748</v>
      </c>
      <c r="C84" t="s">
        <v>746</v>
      </c>
      <c r="D84" t="s">
        <v>759</v>
      </c>
    </row>
    <row r="85" spans="1:4" x14ac:dyDescent="0.3">
      <c r="A85" s="26">
        <v>46106.35628472222</v>
      </c>
      <c r="B85" t="s">
        <v>739</v>
      </c>
      <c r="C85" t="s">
        <v>746</v>
      </c>
      <c r="D85" t="s">
        <v>759</v>
      </c>
    </row>
    <row r="86" spans="1:4" x14ac:dyDescent="0.3">
      <c r="A86" s="26">
        <v>46106.36519675926</v>
      </c>
      <c r="B86" t="s">
        <v>739</v>
      </c>
      <c r="C86" t="s">
        <v>746</v>
      </c>
      <c r="D86" t="s">
        <v>759</v>
      </c>
    </row>
    <row r="87" spans="1:4" x14ac:dyDescent="0.3">
      <c r="A87" s="26">
        <v>46106.365706018521</v>
      </c>
      <c r="B87" t="s">
        <v>739</v>
      </c>
      <c r="C87" t="s">
        <v>746</v>
      </c>
      <c r="D87" t="s">
        <v>759</v>
      </c>
    </row>
    <row r="88" spans="1:4" x14ac:dyDescent="0.3">
      <c r="A88" s="26">
        <v>46106.367106481484</v>
      </c>
      <c r="B88" t="s">
        <v>739</v>
      </c>
      <c r="C88" t="s">
        <v>746</v>
      </c>
      <c r="D88" t="s">
        <v>759</v>
      </c>
    </row>
    <row r="89" spans="1:4" x14ac:dyDescent="0.3">
      <c r="A89" s="26">
        <v>46106.367361111108</v>
      </c>
      <c r="B89" t="s">
        <v>739</v>
      </c>
      <c r="C89" t="s">
        <v>793</v>
      </c>
      <c r="D89" t="s">
        <v>794</v>
      </c>
    </row>
    <row r="90" spans="1:4" x14ac:dyDescent="0.3">
      <c r="A90" s="26">
        <v>46106.369004629632</v>
      </c>
      <c r="B90" t="s">
        <v>739</v>
      </c>
      <c r="C90" t="s">
        <v>746</v>
      </c>
      <c r="D90" t="s">
        <v>759</v>
      </c>
    </row>
    <row r="91" spans="1:4" x14ac:dyDescent="0.3">
      <c r="A91" s="26">
        <v>46106.369456018518</v>
      </c>
      <c r="B91" t="s">
        <v>739</v>
      </c>
      <c r="C91" t="s">
        <v>793</v>
      </c>
      <c r="D91" t="s">
        <v>795</v>
      </c>
    </row>
    <row r="92" spans="1:4" x14ac:dyDescent="0.3">
      <c r="A92" s="26">
        <v>46106.372928240744</v>
      </c>
      <c r="B92" t="s">
        <v>739</v>
      </c>
      <c r="C92" t="s">
        <v>746</v>
      </c>
      <c r="D92" t="s">
        <v>759</v>
      </c>
    </row>
    <row r="93" spans="1:4" x14ac:dyDescent="0.3">
      <c r="A93" s="26">
        <v>46106.374085648145</v>
      </c>
      <c r="B93" t="s">
        <v>739</v>
      </c>
      <c r="C93" t="s">
        <v>746</v>
      </c>
      <c r="D93" t="s">
        <v>759</v>
      </c>
    </row>
    <row r="94" spans="1:4" x14ac:dyDescent="0.3">
      <c r="A94" s="26">
        <v>46106.389328703706</v>
      </c>
      <c r="B94" t="s">
        <v>741</v>
      </c>
      <c r="C94" t="s">
        <v>746</v>
      </c>
      <c r="D94" t="s">
        <v>759</v>
      </c>
    </row>
    <row r="95" spans="1:4" x14ac:dyDescent="0.3">
      <c r="A95" s="26">
        <v>46106.389513888891</v>
      </c>
      <c r="B95" t="s">
        <v>741</v>
      </c>
      <c r="C95" t="s">
        <v>763</v>
      </c>
      <c r="D95" t="s">
        <v>764</v>
      </c>
    </row>
    <row r="96" spans="1:4" x14ac:dyDescent="0.3">
      <c r="A96" s="26">
        <v>46106.394895833335</v>
      </c>
      <c r="B96" t="s">
        <v>741</v>
      </c>
      <c r="C96" t="s">
        <v>746</v>
      </c>
      <c r="D96" t="s">
        <v>759</v>
      </c>
    </row>
    <row r="97" spans="1:4" x14ac:dyDescent="0.3">
      <c r="A97" s="26">
        <v>46106.46025462963</v>
      </c>
      <c r="B97" t="s">
        <v>741</v>
      </c>
      <c r="C97" t="s">
        <v>746</v>
      </c>
      <c r="D97" t="s">
        <v>759</v>
      </c>
    </row>
    <row r="98" spans="1:4" x14ac:dyDescent="0.3">
      <c r="A98" s="26">
        <v>46106.475370370368</v>
      </c>
      <c r="B98" t="s">
        <v>739</v>
      </c>
      <c r="C98" t="s">
        <v>746</v>
      </c>
      <c r="D98" t="s">
        <v>759</v>
      </c>
    </row>
    <row r="99" spans="1:4" x14ac:dyDescent="0.3">
      <c r="A99" s="26">
        <v>46106.475648148145</v>
      </c>
      <c r="B99" t="s">
        <v>739</v>
      </c>
      <c r="C99" t="s">
        <v>746</v>
      </c>
      <c r="D99" t="s">
        <v>759</v>
      </c>
    </row>
    <row r="100" spans="1:4" x14ac:dyDescent="0.3">
      <c r="A100" s="26">
        <v>46106.475868055553</v>
      </c>
      <c r="B100" t="s">
        <v>739</v>
      </c>
      <c r="C100" t="s">
        <v>746</v>
      </c>
      <c r="D100" t="s">
        <v>759</v>
      </c>
    </row>
    <row r="101" spans="1:4" x14ac:dyDescent="0.3">
      <c r="A101" s="26">
        <v>46106.477731481478</v>
      </c>
      <c r="B101" t="s">
        <v>739</v>
      </c>
      <c r="C101" t="s">
        <v>746</v>
      </c>
      <c r="D101" t="s">
        <v>759</v>
      </c>
    </row>
    <row r="102" spans="1:4" x14ac:dyDescent="0.3">
      <c r="A102" s="26">
        <v>46106.479629629626</v>
      </c>
      <c r="B102" t="s">
        <v>739</v>
      </c>
      <c r="C102" t="s">
        <v>746</v>
      </c>
      <c r="D102" t="s">
        <v>759</v>
      </c>
    </row>
    <row r="103" spans="1:4" x14ac:dyDescent="0.3">
      <c r="A103" s="26">
        <v>46106.584930555553</v>
      </c>
      <c r="B103" t="s">
        <v>739</v>
      </c>
      <c r="C103" t="s">
        <v>746</v>
      </c>
      <c r="D103" t="s">
        <v>759</v>
      </c>
    </row>
    <row r="104" spans="1:4" x14ac:dyDescent="0.3">
      <c r="A104" s="26">
        <v>46106.586655092593</v>
      </c>
      <c r="C104" t="s">
        <v>796</v>
      </c>
      <c r="D104" t="s">
        <v>797</v>
      </c>
    </row>
    <row r="105" spans="1:4" x14ac:dyDescent="0.3">
      <c r="A105" s="26">
        <v>46106.602013888885</v>
      </c>
      <c r="B105" t="s">
        <v>739</v>
      </c>
      <c r="C105" t="s">
        <v>746</v>
      </c>
      <c r="D105" t="s">
        <v>759</v>
      </c>
    </row>
    <row r="106" spans="1:4" x14ac:dyDescent="0.3">
      <c r="A106" s="26">
        <v>46106.606134259258</v>
      </c>
      <c r="B106" t="s">
        <v>739</v>
      </c>
      <c r="C106" t="s">
        <v>746</v>
      </c>
      <c r="D106" t="s">
        <v>759</v>
      </c>
    </row>
    <row r="107" spans="1:4" x14ac:dyDescent="0.3">
      <c r="A107" s="26">
        <v>46106.610381944447</v>
      </c>
      <c r="B107" t="s">
        <v>739</v>
      </c>
      <c r="C107" t="s">
        <v>746</v>
      </c>
      <c r="D107" t="s">
        <v>759</v>
      </c>
    </row>
    <row r="108" spans="1:4" x14ac:dyDescent="0.3">
      <c r="A108" s="26">
        <v>46106.627557870372</v>
      </c>
      <c r="B108" t="s">
        <v>739</v>
      </c>
      <c r="C108" t="s">
        <v>746</v>
      </c>
      <c r="D108" t="s">
        <v>759</v>
      </c>
    </row>
    <row r="109" spans="1:4" x14ac:dyDescent="0.3">
      <c r="A109" s="26">
        <v>46106.630023148151</v>
      </c>
      <c r="B109" t="s">
        <v>739</v>
      </c>
      <c r="C109" t="s">
        <v>746</v>
      </c>
      <c r="D109" t="s">
        <v>759</v>
      </c>
    </row>
    <row r="110" spans="1:4" x14ac:dyDescent="0.3">
      <c r="A110" s="26">
        <v>46106.632013888891</v>
      </c>
      <c r="B110" t="s">
        <v>739</v>
      </c>
      <c r="C110" t="s">
        <v>746</v>
      </c>
      <c r="D110" t="s">
        <v>759</v>
      </c>
    </row>
    <row r="111" spans="1:4" x14ac:dyDescent="0.3">
      <c r="A111" s="26">
        <v>46106.639178240737</v>
      </c>
      <c r="B111" t="s">
        <v>739</v>
      </c>
      <c r="C111" t="s">
        <v>746</v>
      </c>
      <c r="D111" t="s">
        <v>759</v>
      </c>
    </row>
    <row r="112" spans="1:4" x14ac:dyDescent="0.3">
      <c r="A112" s="26">
        <v>46106.642430555556</v>
      </c>
      <c r="B112" t="s">
        <v>739</v>
      </c>
      <c r="C112" t="s">
        <v>746</v>
      </c>
      <c r="D112" t="s">
        <v>759</v>
      </c>
    </row>
    <row r="113" spans="1:4" x14ac:dyDescent="0.3">
      <c r="A113" s="26">
        <v>46106.643055555556</v>
      </c>
      <c r="B113" t="s">
        <v>739</v>
      </c>
      <c r="C113" t="s">
        <v>746</v>
      </c>
      <c r="D113" t="s">
        <v>759</v>
      </c>
    </row>
    <row r="114" spans="1:4" x14ac:dyDescent="0.3">
      <c r="A114" s="26">
        <v>46106.643263888887</v>
      </c>
      <c r="B114" t="s">
        <v>739</v>
      </c>
      <c r="C114" t="s">
        <v>746</v>
      </c>
      <c r="D114" t="s">
        <v>759</v>
      </c>
    </row>
    <row r="115" spans="1:4" x14ac:dyDescent="0.3">
      <c r="A115" s="26">
        <v>46106.643599537034</v>
      </c>
      <c r="B115" t="s">
        <v>739</v>
      </c>
      <c r="C115" t="s">
        <v>746</v>
      </c>
      <c r="D115" t="s">
        <v>759</v>
      </c>
    </row>
    <row r="116" spans="1:4" x14ac:dyDescent="0.3">
      <c r="A116" s="26">
        <v>46106.644479166665</v>
      </c>
      <c r="B116" t="s">
        <v>739</v>
      </c>
      <c r="C116" t="s">
        <v>746</v>
      </c>
      <c r="D116" t="s">
        <v>759</v>
      </c>
    </row>
    <row r="117" spans="1:4" x14ac:dyDescent="0.3">
      <c r="A117" s="26">
        <v>46106.647638888891</v>
      </c>
      <c r="B117" t="s">
        <v>739</v>
      </c>
      <c r="C117" t="s">
        <v>796</v>
      </c>
      <c r="D117" t="s">
        <v>802</v>
      </c>
    </row>
    <row r="118" spans="1:4" x14ac:dyDescent="0.3">
      <c r="A118" s="26">
        <v>46106.66333333333</v>
      </c>
      <c r="B118" t="s">
        <v>739</v>
      </c>
      <c r="C118" t="s">
        <v>746</v>
      </c>
      <c r="D118" t="s">
        <v>759</v>
      </c>
    </row>
    <row r="119" spans="1:4" x14ac:dyDescent="0.3">
      <c r="A119" s="26">
        <v>46106.666550925926</v>
      </c>
      <c r="B119" t="s">
        <v>739</v>
      </c>
      <c r="C119" t="s">
        <v>746</v>
      </c>
      <c r="D119" t="s">
        <v>759</v>
      </c>
    </row>
    <row r="120" spans="1:4" x14ac:dyDescent="0.3">
      <c r="A120" s="26">
        <v>46106.667118055557</v>
      </c>
      <c r="B120" t="s">
        <v>739</v>
      </c>
      <c r="C120" t="s">
        <v>746</v>
      </c>
      <c r="D120" t="s">
        <v>759</v>
      </c>
    </row>
    <row r="121" spans="1:4" x14ac:dyDescent="0.3">
      <c r="A121" s="26">
        <v>46106.667986111112</v>
      </c>
      <c r="B121" t="s">
        <v>739</v>
      </c>
      <c r="C121" t="s">
        <v>746</v>
      </c>
      <c r="D121" t="s">
        <v>759</v>
      </c>
    </row>
    <row r="122" spans="1:4" x14ac:dyDescent="0.3">
      <c r="A122" s="26">
        <v>46106.669803240744</v>
      </c>
      <c r="B122" t="s">
        <v>739</v>
      </c>
      <c r="C122" t="s">
        <v>746</v>
      </c>
      <c r="D122" t="s">
        <v>759</v>
      </c>
    </row>
    <row r="123" spans="1:4" x14ac:dyDescent="0.3">
      <c r="A123" s="26">
        <v>46107.325300925928</v>
      </c>
      <c r="B123" t="s">
        <v>739</v>
      </c>
      <c r="C123" t="s">
        <v>746</v>
      </c>
      <c r="D123" t="s">
        <v>759</v>
      </c>
    </row>
    <row r="124" spans="1:4" x14ac:dyDescent="0.3">
      <c r="A124" s="26">
        <v>46107.328414351854</v>
      </c>
      <c r="B124" t="s">
        <v>739</v>
      </c>
      <c r="C124" t="s">
        <v>746</v>
      </c>
      <c r="D124" t="s">
        <v>759</v>
      </c>
    </row>
    <row r="125" spans="1:4" x14ac:dyDescent="0.3">
      <c r="A125" s="26">
        <v>46107.589861111112</v>
      </c>
      <c r="B125" t="s">
        <v>739</v>
      </c>
      <c r="C125" t="s">
        <v>746</v>
      </c>
      <c r="D125" t="s">
        <v>759</v>
      </c>
    </row>
    <row r="126" spans="1:4" x14ac:dyDescent="0.3">
      <c r="A126" s="26">
        <v>46107.590011574073</v>
      </c>
      <c r="B126" t="s">
        <v>739</v>
      </c>
      <c r="C126" t="s">
        <v>746</v>
      </c>
      <c r="D126" t="s">
        <v>759</v>
      </c>
    </row>
    <row r="127" spans="1:4" x14ac:dyDescent="0.3">
      <c r="A127" s="26">
        <v>46107.592685185184</v>
      </c>
      <c r="B127" t="s">
        <v>739</v>
      </c>
      <c r="C127" t="s">
        <v>746</v>
      </c>
      <c r="D127" t="s">
        <v>759</v>
      </c>
    </row>
    <row r="128" spans="1:4" x14ac:dyDescent="0.3">
      <c r="A128" s="26">
        <v>46107.593402777777</v>
      </c>
      <c r="B128" t="s">
        <v>739</v>
      </c>
      <c r="C128" t="s">
        <v>746</v>
      </c>
      <c r="D128" t="s">
        <v>759</v>
      </c>
    </row>
    <row r="129" spans="1:4" x14ac:dyDescent="0.3">
      <c r="A129" s="26">
        <v>46107.599120370367</v>
      </c>
      <c r="B129" t="s">
        <v>739</v>
      </c>
      <c r="C129" t="s">
        <v>746</v>
      </c>
      <c r="D129" t="s">
        <v>759</v>
      </c>
    </row>
    <row r="130" spans="1:4" x14ac:dyDescent="0.3">
      <c r="A130" s="26">
        <v>46107.600937499999</v>
      </c>
      <c r="B130" t="s">
        <v>739</v>
      </c>
      <c r="C130" t="s">
        <v>746</v>
      </c>
      <c r="D130" t="s">
        <v>759</v>
      </c>
    </row>
    <row r="131" spans="1:4" x14ac:dyDescent="0.3">
      <c r="A131" s="26">
        <v>46107.601203703707</v>
      </c>
      <c r="B131" t="s">
        <v>739</v>
      </c>
      <c r="C131" t="s">
        <v>746</v>
      </c>
      <c r="D131" t="s">
        <v>759</v>
      </c>
    </row>
    <row r="132" spans="1:4" x14ac:dyDescent="0.3">
      <c r="A132" s="26">
        <v>46107.6015625</v>
      </c>
      <c r="B132" t="s">
        <v>739</v>
      </c>
      <c r="C132" t="s">
        <v>746</v>
      </c>
      <c r="D132" t="s">
        <v>759</v>
      </c>
    </row>
    <row r="133" spans="1:4" x14ac:dyDescent="0.3">
      <c r="A133" s="26">
        <v>46107.603171296294</v>
      </c>
      <c r="B133" t="s">
        <v>739</v>
      </c>
      <c r="C133" t="s">
        <v>746</v>
      </c>
      <c r="D133" t="s">
        <v>759</v>
      </c>
    </row>
    <row r="134" spans="1:4" x14ac:dyDescent="0.3">
      <c r="A134" s="26">
        <v>46107.603333333333</v>
      </c>
      <c r="B134" t="s">
        <v>739</v>
      </c>
      <c r="C134" t="s">
        <v>746</v>
      </c>
      <c r="D134" t="s">
        <v>759</v>
      </c>
    </row>
    <row r="135" spans="1:4" x14ac:dyDescent="0.3">
      <c r="A135" s="26">
        <v>46107.608171296299</v>
      </c>
      <c r="B135" t="s">
        <v>739</v>
      </c>
      <c r="C135" t="s">
        <v>746</v>
      </c>
      <c r="D135" t="s">
        <v>759</v>
      </c>
    </row>
    <row r="136" spans="1:4" x14ac:dyDescent="0.3">
      <c r="A136" s="26">
        <v>46108.396608796298</v>
      </c>
      <c r="B136" t="s">
        <v>739</v>
      </c>
      <c r="C136" t="s">
        <v>746</v>
      </c>
      <c r="D136" t="s">
        <v>759</v>
      </c>
    </row>
    <row r="137" spans="1:4" x14ac:dyDescent="0.3">
      <c r="A137" s="26">
        <v>46108.445740740739</v>
      </c>
      <c r="B137" t="s">
        <v>739</v>
      </c>
      <c r="C137" t="s">
        <v>746</v>
      </c>
      <c r="D137" t="s">
        <v>759</v>
      </c>
    </row>
    <row r="138" spans="1:4" x14ac:dyDescent="0.3">
      <c r="A138" s="26">
        <v>46108.446446759262</v>
      </c>
      <c r="B138" t="s">
        <v>739</v>
      </c>
      <c r="C138" t="s">
        <v>746</v>
      </c>
      <c r="D138" t="s">
        <v>759</v>
      </c>
    </row>
    <row r="139" spans="1:4" x14ac:dyDescent="0.3">
      <c r="A139" s="26">
        <v>46108.446817129632</v>
      </c>
      <c r="B139" t="s">
        <v>739</v>
      </c>
      <c r="C139" t="s">
        <v>749</v>
      </c>
      <c r="D139" t="s">
        <v>803</v>
      </c>
    </row>
    <row r="140" spans="1:4" x14ac:dyDescent="0.3">
      <c r="A140" s="26">
        <v>46108.451620370368</v>
      </c>
      <c r="B140" t="s">
        <v>739</v>
      </c>
      <c r="C140" t="s">
        <v>765</v>
      </c>
      <c r="D140" t="s">
        <v>806</v>
      </c>
    </row>
    <row r="141" spans="1:4" x14ac:dyDescent="0.3">
      <c r="A141" s="26">
        <v>46108.452581018515</v>
      </c>
      <c r="B141" t="s">
        <v>739</v>
      </c>
      <c r="C141" t="s">
        <v>765</v>
      </c>
      <c r="D141" t="s">
        <v>806</v>
      </c>
    </row>
    <row r="142" spans="1:4" x14ac:dyDescent="0.3">
      <c r="A142" s="26">
        <v>46108.605671296296</v>
      </c>
      <c r="B142" t="s">
        <v>739</v>
      </c>
      <c r="C142" t="s">
        <v>746</v>
      </c>
      <c r="D142" t="s">
        <v>759</v>
      </c>
    </row>
    <row r="143" spans="1:4" x14ac:dyDescent="0.3">
      <c r="A143" s="26">
        <v>46108.642071759263</v>
      </c>
      <c r="B143" t="s">
        <v>739</v>
      </c>
      <c r="C143" t="s">
        <v>746</v>
      </c>
      <c r="D143" t="s">
        <v>807</v>
      </c>
    </row>
    <row r="144" spans="1:4" x14ac:dyDescent="0.3">
      <c r="A144" s="26">
        <v>46108.64234953704</v>
      </c>
      <c r="B144" t="s">
        <v>739</v>
      </c>
      <c r="C144" t="s">
        <v>765</v>
      </c>
      <c r="D144" t="s">
        <v>808</v>
      </c>
    </row>
    <row r="145" spans="1:4" x14ac:dyDescent="0.3">
      <c r="A145" s="26">
        <v>46108.642696759256</v>
      </c>
      <c r="B145" t="s">
        <v>739</v>
      </c>
      <c r="C145" t="s">
        <v>765</v>
      </c>
      <c r="D145" t="s">
        <v>809</v>
      </c>
    </row>
    <row r="146" spans="1:4" x14ac:dyDescent="0.3">
      <c r="A146" s="26">
        <v>46108.642905092594</v>
      </c>
      <c r="B146" t="s">
        <v>739</v>
      </c>
      <c r="C146" t="s">
        <v>765</v>
      </c>
      <c r="D146" t="s">
        <v>809</v>
      </c>
    </row>
    <row r="147" spans="1:4" x14ac:dyDescent="0.3">
      <c r="A147" s="26">
        <v>46108.64334490741</v>
      </c>
      <c r="B147" t="s">
        <v>739</v>
      </c>
      <c r="C147" t="s">
        <v>767</v>
      </c>
      <c r="D147" t="s">
        <v>810</v>
      </c>
    </row>
    <row r="148" spans="1:4" x14ac:dyDescent="0.3">
      <c r="A148" s="26">
        <v>46108.64371527778</v>
      </c>
      <c r="B148" t="s">
        <v>739</v>
      </c>
      <c r="C148" t="s">
        <v>761</v>
      </c>
      <c r="D148" t="s">
        <v>811</v>
      </c>
    </row>
    <row r="149" spans="1:4" x14ac:dyDescent="0.3">
      <c r="A149" s="26">
        <v>46108.645590277774</v>
      </c>
      <c r="B149" t="s">
        <v>739</v>
      </c>
      <c r="C149" t="s">
        <v>746</v>
      </c>
      <c r="D149" t="s">
        <v>807</v>
      </c>
    </row>
    <row r="150" spans="1:4" x14ac:dyDescent="0.3">
      <c r="A150" s="26">
        <v>46108.645995370367</v>
      </c>
      <c r="B150" t="s">
        <v>739</v>
      </c>
      <c r="C150" t="s">
        <v>746</v>
      </c>
      <c r="D150" t="s">
        <v>807</v>
      </c>
    </row>
    <row r="151" spans="1:4" x14ac:dyDescent="0.3">
      <c r="A151" s="26">
        <v>46108.647453703707</v>
      </c>
      <c r="B151" t="s">
        <v>739</v>
      </c>
      <c r="C151" t="s">
        <v>746</v>
      </c>
      <c r="D151" t="s">
        <v>807</v>
      </c>
    </row>
    <row r="152" spans="1:4" x14ac:dyDescent="0.3">
      <c r="A152" s="26">
        <v>46108.64770833333</v>
      </c>
      <c r="B152" t="s">
        <v>739</v>
      </c>
      <c r="C152" t="s">
        <v>749</v>
      </c>
      <c r="D152" t="s">
        <v>812</v>
      </c>
    </row>
    <row r="153" spans="1:4" x14ac:dyDescent="0.3">
      <c r="A153" s="26">
        <v>46108.648136574076</v>
      </c>
      <c r="B153" t="s">
        <v>739</v>
      </c>
      <c r="C153" t="s">
        <v>761</v>
      </c>
      <c r="D153" t="s">
        <v>813</v>
      </c>
    </row>
    <row r="154" spans="1:4" x14ac:dyDescent="0.3">
      <c r="A154" s="26">
        <v>46108.649560185186</v>
      </c>
      <c r="B154" t="s">
        <v>739</v>
      </c>
      <c r="C154" t="s">
        <v>765</v>
      </c>
      <c r="D154" t="s">
        <v>816</v>
      </c>
    </row>
    <row r="155" spans="1:4" x14ac:dyDescent="0.3">
      <c r="A155" s="26">
        <v>46108.650451388887</v>
      </c>
      <c r="B155" t="s">
        <v>739</v>
      </c>
      <c r="C155" t="s">
        <v>746</v>
      </c>
      <c r="D155" t="s">
        <v>807</v>
      </c>
    </row>
    <row r="156" spans="1:4" x14ac:dyDescent="0.3">
      <c r="A156" s="26">
        <v>46108.650949074072</v>
      </c>
      <c r="B156" t="s">
        <v>739</v>
      </c>
      <c r="C156" t="s">
        <v>765</v>
      </c>
      <c r="D156" t="s">
        <v>819</v>
      </c>
    </row>
    <row r="157" spans="1:4" x14ac:dyDescent="0.3">
      <c r="A157" s="26">
        <v>46108.655636574076</v>
      </c>
      <c r="B157" t="s">
        <v>739</v>
      </c>
      <c r="C157" t="s">
        <v>746</v>
      </c>
      <c r="D157" t="s">
        <v>807</v>
      </c>
    </row>
    <row r="158" spans="1:4" x14ac:dyDescent="0.3">
      <c r="A158" s="26">
        <v>46108.655960648146</v>
      </c>
      <c r="B158" t="s">
        <v>739</v>
      </c>
      <c r="C158" t="s">
        <v>746</v>
      </c>
      <c r="D158" t="s">
        <v>807</v>
      </c>
    </row>
    <row r="159" spans="1:4" x14ac:dyDescent="0.3">
      <c r="A159" s="26">
        <v>46108.657280092593</v>
      </c>
      <c r="B159" t="s">
        <v>739</v>
      </c>
      <c r="C159" t="s">
        <v>746</v>
      </c>
      <c r="D159" t="s">
        <v>807</v>
      </c>
    </row>
    <row r="160" spans="1:4" x14ac:dyDescent="0.3">
      <c r="A160" s="26">
        <v>46111.408171296294</v>
      </c>
      <c r="B160" t="s">
        <v>739</v>
      </c>
      <c r="C160" t="s">
        <v>746</v>
      </c>
      <c r="D160" t="s">
        <v>807</v>
      </c>
    </row>
    <row r="161" spans="1:4" x14ac:dyDescent="0.3">
      <c r="A161" s="26">
        <v>46111.409039351849</v>
      </c>
      <c r="B161" t="s">
        <v>739</v>
      </c>
      <c r="C161" t="s">
        <v>746</v>
      </c>
      <c r="D161" t="s">
        <v>807</v>
      </c>
    </row>
    <row r="162" spans="1:4" x14ac:dyDescent="0.3">
      <c r="A162" s="26">
        <v>46111.662222222221</v>
      </c>
      <c r="B162" t="s">
        <v>739</v>
      </c>
      <c r="C162" t="s">
        <v>746</v>
      </c>
      <c r="D162" t="s">
        <v>807</v>
      </c>
    </row>
    <row r="163" spans="1:4" x14ac:dyDescent="0.3">
      <c r="A163" s="26">
        <v>46112.588634259257</v>
      </c>
      <c r="B163" t="s">
        <v>739</v>
      </c>
      <c r="C163" t="s">
        <v>746</v>
      </c>
      <c r="D163" t="s">
        <v>807</v>
      </c>
    </row>
    <row r="164" spans="1:4" x14ac:dyDescent="0.3">
      <c r="A164" s="26">
        <v>46112.588831018518</v>
      </c>
      <c r="B164" t="s">
        <v>739</v>
      </c>
      <c r="C164" t="s">
        <v>746</v>
      </c>
      <c r="D164" t="s">
        <v>807</v>
      </c>
    </row>
    <row r="165" spans="1:4" x14ac:dyDescent="0.3">
      <c r="A165" s="26">
        <v>46112.596967592595</v>
      </c>
      <c r="B165" t="s">
        <v>739</v>
      </c>
      <c r="C165" t="s">
        <v>746</v>
      </c>
      <c r="D165" t="s">
        <v>807</v>
      </c>
    </row>
    <row r="166" spans="1:4" x14ac:dyDescent="0.3">
      <c r="A166" s="26">
        <v>46112.597129629627</v>
      </c>
      <c r="B166" t="s">
        <v>739</v>
      </c>
      <c r="C166" t="s">
        <v>746</v>
      </c>
      <c r="D166" t="s">
        <v>807</v>
      </c>
    </row>
    <row r="167" spans="1:4" x14ac:dyDescent="0.3">
      <c r="A167" s="26">
        <v>46113.474074074074</v>
      </c>
      <c r="B167" t="s">
        <v>739</v>
      </c>
      <c r="C167" t="s">
        <v>746</v>
      </c>
      <c r="D167" t="s">
        <v>807</v>
      </c>
    </row>
    <row r="168" spans="1:4" x14ac:dyDescent="0.3">
      <c r="A168" s="26">
        <v>46113.477118055554</v>
      </c>
      <c r="B168" t="s">
        <v>739</v>
      </c>
      <c r="C168" t="s">
        <v>746</v>
      </c>
      <c r="D168" t="s">
        <v>807</v>
      </c>
    </row>
    <row r="169" spans="1:4" x14ac:dyDescent="0.3">
      <c r="A169" s="26">
        <v>46113.56144675926</v>
      </c>
      <c r="B169" t="s">
        <v>739</v>
      </c>
      <c r="C169" t="s">
        <v>746</v>
      </c>
      <c r="D169" t="s">
        <v>807</v>
      </c>
    </row>
    <row r="170" spans="1:4" x14ac:dyDescent="0.3">
      <c r="A170" s="26">
        <v>46115.505706018521</v>
      </c>
      <c r="B170" t="s">
        <v>739</v>
      </c>
      <c r="C170" t="s">
        <v>746</v>
      </c>
      <c r="D170" t="s">
        <v>807</v>
      </c>
    </row>
    <row r="171" spans="1:4" x14ac:dyDescent="0.3">
      <c r="A171" s="26">
        <v>46115.505891203706</v>
      </c>
      <c r="B171" t="s">
        <v>739</v>
      </c>
      <c r="C171" t="s">
        <v>761</v>
      </c>
      <c r="D171" t="s">
        <v>842</v>
      </c>
    </row>
    <row r="172" spans="1:4" x14ac:dyDescent="0.3">
      <c r="A172" s="26">
        <v>46115.506006944444</v>
      </c>
      <c r="B172" t="s">
        <v>739</v>
      </c>
      <c r="C172" t="s">
        <v>761</v>
      </c>
      <c r="D172" t="s">
        <v>843</v>
      </c>
    </row>
    <row r="173" spans="1:4" x14ac:dyDescent="0.3">
      <c r="A173" s="26">
        <v>46119.431469907409</v>
      </c>
      <c r="B173" t="s">
        <v>739</v>
      </c>
      <c r="C173" t="s">
        <v>746</v>
      </c>
      <c r="D173" t="s">
        <v>807</v>
      </c>
    </row>
    <row r="174" spans="1:4" x14ac:dyDescent="0.3">
      <c r="A174" s="26">
        <v>46119.629340277781</v>
      </c>
      <c r="B174" t="s">
        <v>739</v>
      </c>
      <c r="C174" t="s">
        <v>746</v>
      </c>
      <c r="D174" t="s">
        <v>807</v>
      </c>
    </row>
    <row r="175" spans="1:4" x14ac:dyDescent="0.3">
      <c r="A175" s="26">
        <v>46119.629710648151</v>
      </c>
      <c r="B175" t="s">
        <v>739</v>
      </c>
      <c r="C175" t="s">
        <v>749</v>
      </c>
      <c r="D175" t="s">
        <v>844</v>
      </c>
    </row>
    <row r="176" spans="1:4" x14ac:dyDescent="0.3">
      <c r="A176" s="26">
        <v>46119.63962962963</v>
      </c>
      <c r="B176" t="s">
        <v>739</v>
      </c>
      <c r="C176" t="s">
        <v>746</v>
      </c>
      <c r="D176" t="s">
        <v>807</v>
      </c>
    </row>
    <row r="177" spans="1:4" x14ac:dyDescent="0.3">
      <c r="A177" s="26">
        <v>46119.639733796299</v>
      </c>
      <c r="B177" t="s">
        <v>739</v>
      </c>
      <c r="C177" t="s">
        <v>761</v>
      </c>
      <c r="D177" t="s">
        <v>845</v>
      </c>
    </row>
    <row r="178" spans="1:4" x14ac:dyDescent="0.3">
      <c r="A178" s="26">
        <v>46121.484699074077</v>
      </c>
      <c r="B178" t="s">
        <v>739</v>
      </c>
      <c r="C178" t="s">
        <v>746</v>
      </c>
      <c r="D178" t="s">
        <v>807</v>
      </c>
    </row>
    <row r="179" spans="1:4" x14ac:dyDescent="0.3">
      <c r="A179" s="26">
        <v>46121.561793981484</v>
      </c>
      <c r="B179" t="s">
        <v>739</v>
      </c>
      <c r="C179" t="s">
        <v>746</v>
      </c>
      <c r="D179" t="s">
        <v>807</v>
      </c>
    </row>
    <row r="180" spans="1:4" x14ac:dyDescent="0.3">
      <c r="A180" s="26">
        <v>46121.666145833333</v>
      </c>
      <c r="B180" t="s">
        <v>739</v>
      </c>
      <c r="C180" t="s">
        <v>746</v>
      </c>
      <c r="D180" t="s">
        <v>807</v>
      </c>
    </row>
    <row r="181" spans="1:4" x14ac:dyDescent="0.3">
      <c r="A181" s="26">
        <v>46121.670162037037</v>
      </c>
      <c r="B181" t="s">
        <v>739</v>
      </c>
      <c r="C181" t="s">
        <v>761</v>
      </c>
      <c r="D181" t="s">
        <v>846</v>
      </c>
    </row>
    <row r="182" spans="1:4" x14ac:dyDescent="0.3">
      <c r="A182" s="26">
        <v>46121.670717592591</v>
      </c>
      <c r="B182" t="s">
        <v>739</v>
      </c>
      <c r="C182" t="s">
        <v>761</v>
      </c>
      <c r="D182" t="s">
        <v>847</v>
      </c>
    </row>
    <row r="183" spans="1:4" x14ac:dyDescent="0.3">
      <c r="A183" s="26">
        <v>46122.332395833335</v>
      </c>
      <c r="B183" t="s">
        <v>739</v>
      </c>
      <c r="C183" t="s">
        <v>746</v>
      </c>
      <c r="D183" t="s">
        <v>807</v>
      </c>
    </row>
    <row r="184" spans="1:4" x14ac:dyDescent="0.3">
      <c r="A184" s="26">
        <v>46122.363113425927</v>
      </c>
      <c r="B184" t="s">
        <v>739</v>
      </c>
      <c r="C184" t="s">
        <v>746</v>
      </c>
      <c r="D184" t="s">
        <v>807</v>
      </c>
    </row>
    <row r="185" spans="1:4" x14ac:dyDescent="0.3">
      <c r="A185" s="26">
        <v>46122.364131944443</v>
      </c>
      <c r="B185" t="s">
        <v>739</v>
      </c>
      <c r="C185" t="s">
        <v>746</v>
      </c>
      <c r="D185" t="s">
        <v>807</v>
      </c>
    </row>
    <row r="186" spans="1:4" x14ac:dyDescent="0.3">
      <c r="A186" s="26">
        <v>46122.365381944444</v>
      </c>
      <c r="B186" t="s">
        <v>739</v>
      </c>
      <c r="C186" t="s">
        <v>746</v>
      </c>
      <c r="D186" t="s">
        <v>807</v>
      </c>
    </row>
    <row r="187" spans="1:4" x14ac:dyDescent="0.3">
      <c r="A187" s="26">
        <v>46122.635520833333</v>
      </c>
      <c r="B187" t="s">
        <v>739</v>
      </c>
      <c r="C187" t="s">
        <v>746</v>
      </c>
      <c r="D187" t="s">
        <v>807</v>
      </c>
    </row>
    <row r="188" spans="1:4" x14ac:dyDescent="0.3">
      <c r="A188" s="26">
        <v>46122.659166666665</v>
      </c>
      <c r="B188" t="s">
        <v>739</v>
      </c>
      <c r="C188" t="s">
        <v>746</v>
      </c>
      <c r="D188" t="s">
        <v>807</v>
      </c>
    </row>
    <row r="189" spans="1:4" x14ac:dyDescent="0.3">
      <c r="A189" s="26">
        <v>46125.497743055559</v>
      </c>
      <c r="B189" t="s">
        <v>739</v>
      </c>
      <c r="C189" t="s">
        <v>746</v>
      </c>
      <c r="D189" t="s">
        <v>807</v>
      </c>
    </row>
    <row r="190" spans="1:4" x14ac:dyDescent="0.3">
      <c r="A190" s="26">
        <v>46125.611770833333</v>
      </c>
      <c r="B190" t="s">
        <v>739</v>
      </c>
      <c r="C190" t="s">
        <v>746</v>
      </c>
      <c r="D190" t="s">
        <v>807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2298-DC9C-4C9D-8DB0-317FE0110F7E}">
  <sheetPr codeName="Feuil2"/>
  <dimension ref="A1:E2"/>
  <sheetViews>
    <sheetView workbookViewId="0">
      <selection activeCell="C11" sqref="C11"/>
    </sheetView>
  </sheetViews>
  <sheetFormatPr baseColWidth="10" defaultRowHeight="14.4" x14ac:dyDescent="0.3"/>
  <cols>
    <col min="1" max="2" width="12.44140625" customWidth="1"/>
    <col min="3" max="3" width="16.44140625" customWidth="1"/>
    <col min="4" max="4" width="17.21875" customWidth="1"/>
    <col min="5" max="5" width="13.44140625" customWidth="1"/>
  </cols>
  <sheetData>
    <row r="1" spans="1:5" x14ac:dyDescent="0.3">
      <c r="A1" t="s">
        <v>798</v>
      </c>
      <c r="B1" t="s">
        <v>643</v>
      </c>
      <c r="C1" t="s">
        <v>799</v>
      </c>
      <c r="D1" t="s">
        <v>800</v>
      </c>
      <c r="E1" t="s">
        <v>801</v>
      </c>
    </row>
    <row r="2" spans="1:5" x14ac:dyDescent="0.3">
      <c r="A2" s="2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Listes</vt:lpstr>
      <vt:lpstr>CATALOGUE_MAITRE</vt:lpstr>
      <vt:lpstr>Données</vt:lpstr>
      <vt:lpstr>USERS</vt:lpstr>
      <vt:lpstr>LOGS</vt:lpstr>
      <vt:lpstr>ALERTES_VEILLE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LAGRAM Safouan</dc:creator>
  <cp:lastModifiedBy>LAGRAM Safouan</cp:lastModifiedBy>
  <dcterms:created xsi:type="dcterms:W3CDTF">2015-06-05T18:19:34Z</dcterms:created>
  <dcterms:modified xsi:type="dcterms:W3CDTF">2026-04-13T12:40:57Z</dcterms:modified>
</cp:coreProperties>
</file>